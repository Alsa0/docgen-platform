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trlProps/ctrlProp1.xml" ContentType="application/vnd.ms-excel.controlproperties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.xml" ContentType="application/vnd.ms-excel.rdrichvalue+xml"/>
  <Override PartName="/xl/richData/rdRichValueTypes.xml" ContentType="application/vnd.ms-excel.rdrichvaluetypes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H445\Downloads\"/>
    </mc:Choice>
  </mc:AlternateContent>
  <xr:revisionPtr revIDLastSave="0" documentId="13_ncr:1_{74E2C4A5-5249-43F2-89E0-9498806C0B85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oW" sheetId="4" r:id="rId1"/>
    <sheet name="Calendrier" sheetId="7" r:id="rId2"/>
    <sheet name="Base de données" sheetId="1" r:id="rId3"/>
  </sheets>
  <definedNames>
    <definedName name="_xlnm._FilterDatabase" localSheetId="2" hidden="1">'Base de données'!#REF!</definedName>
    <definedName name="Audit">Tableau117[Audit]</definedName>
    <definedName name="Début_Projet" localSheetId="0">SoW!$C$6</definedName>
    <definedName name="Début_projet">Calendrier!$C$8</definedName>
    <definedName name="Férié">Tableau4[Jour férié]</definedName>
    <definedName name="Implémentation">Tableau10[Implémentation]</definedName>
    <definedName name="_xlnm.Print_Titles" localSheetId="0">SoW!$18:$19</definedName>
    <definedName name="Incrément_de_défilement" localSheetId="0">SoW!$C$7</definedName>
    <definedName name="Post_Implémentation">Tableau11[Post_Implémentation]</definedName>
    <definedName name="Préparation">Tableau8[Préparation / Conception]</definedName>
    <definedName name="Sem_Affichée">Calendrier!$C$7</definedName>
    <definedName name="_xlnm.Print_Area" localSheetId="2">'Base de données'!$A$1:$B$2</definedName>
    <definedName name="_xlnm.Print_Area" localSheetId="1">Calendrier!$B$1:$AL$18</definedName>
    <definedName name="_xlnm.Print_Area" localSheetId="0">SoW!$B$1:$I$34</definedName>
  </definedName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7" l="1"/>
  <c r="D16" i="7"/>
  <c r="F14" i="7"/>
  <c r="C8" i="7"/>
  <c r="B18" i="7"/>
  <c r="B16" i="7"/>
  <c r="E19" i="7"/>
  <c r="B14" i="7"/>
  <c r="F16" i="7" l="1"/>
  <c r="F18" i="7" s="1"/>
  <c r="H11" i="7"/>
  <c r="H9" i="7" s="1" a="1"/>
  <c r="H9" i="7" s="1"/>
  <c r="H8" i="7" l="1"/>
  <c r="H10" i="7"/>
  <c r="I11" i="7"/>
  <c r="B1" i="7"/>
  <c r="I9" i="7" l="1"/>
  <c r="I8" i="7"/>
  <c r="J11" i="7"/>
  <c r="I10" i="7"/>
  <c r="J9" i="7" l="1"/>
  <c r="J8" i="7"/>
  <c r="J10" i="7"/>
  <c r="K11" i="7"/>
  <c r="K9" i="7" l="1"/>
  <c r="K8" i="7"/>
  <c r="K10" i="7"/>
  <c r="L11" i="7"/>
  <c r="L9" i="7" l="1"/>
  <c r="L8" i="7"/>
  <c r="M11" i="7"/>
  <c r="L10" i="7"/>
  <c r="M9" i="7" l="1"/>
  <c r="M8" i="7"/>
  <c r="M10" i="7"/>
  <c r="N11" i="7"/>
  <c r="N9" i="7" l="1"/>
  <c r="N8" i="7"/>
  <c r="N10" i="7"/>
  <c r="O11" i="7"/>
  <c r="O9" i="7" s="1" a="1"/>
  <c r="O9" i="7" s="1"/>
  <c r="O8" i="7" l="1"/>
  <c r="P11" i="7"/>
  <c r="O10" i="7"/>
  <c r="P9" i="7" l="1"/>
  <c r="P8" i="7"/>
  <c r="P10" i="7"/>
  <c r="Q11" i="7"/>
  <c r="Q9" i="7" l="1"/>
  <c r="Q8" i="7"/>
  <c r="Q10" i="7"/>
  <c r="R11" i="7"/>
  <c r="R9" i="7" l="1"/>
  <c r="R8" i="7"/>
  <c r="R10" i="7"/>
  <c r="S11" i="7"/>
  <c r="S9" i="7" l="1"/>
  <c r="S8" i="7"/>
  <c r="S10" i="7"/>
  <c r="T11" i="7"/>
  <c r="T9" i="7" l="1"/>
  <c r="T8" i="7"/>
  <c r="T10" i="7"/>
  <c r="U11" i="7"/>
  <c r="U9" i="7" l="1"/>
  <c r="U8" i="7"/>
  <c r="U10" i="7"/>
  <c r="V11" i="7"/>
  <c r="V9" i="7" l="1"/>
  <c r="V8" i="7"/>
  <c r="V10" i="7"/>
  <c r="W11" i="7"/>
  <c r="W9" i="7" l="1"/>
  <c r="W8" i="7"/>
  <c r="X11" i="7"/>
  <c r="W10" i="7"/>
  <c r="X9" i="7" l="1"/>
  <c r="X8" i="7"/>
  <c r="X10" i="7"/>
  <c r="Y11" i="7"/>
  <c r="Y9" i="7" l="1"/>
  <c r="Y8" i="7"/>
  <c r="Y10" i="7"/>
  <c r="Z11" i="7"/>
  <c r="Z9" i="7" l="1"/>
  <c r="Z8" i="7"/>
  <c r="Z10" i="7"/>
  <c r="AA11" i="7"/>
  <c r="AA9" i="7" l="1"/>
  <c r="AA8" i="7"/>
  <c r="AA10" i="7"/>
  <c r="AB11" i="7"/>
  <c r="AB9" i="7" l="1"/>
  <c r="AB8" i="7"/>
  <c r="AB10" i="7"/>
  <c r="AC11" i="7"/>
  <c r="AC9" i="7" l="1"/>
  <c r="AC8" i="7"/>
  <c r="AC10" i="7"/>
  <c r="AD11" i="7"/>
  <c r="AD9" i="7" l="1"/>
  <c r="AD8" i="7"/>
  <c r="AD10" i="7"/>
  <c r="AE11" i="7"/>
  <c r="AE9" i="7" l="1"/>
  <c r="AE8" i="7"/>
  <c r="AE10" i="7"/>
  <c r="AF11" i="7"/>
  <c r="AF9" i="7" l="1"/>
  <c r="AF8" i="7"/>
  <c r="AF10" i="7"/>
  <c r="AG11" i="7"/>
  <c r="AG9" i="7" l="1"/>
  <c r="AG8" i="7"/>
  <c r="AG10" i="7"/>
  <c r="AH11" i="7"/>
  <c r="AH9" i="7" l="1"/>
  <c r="AH8" i="7"/>
  <c r="AH10" i="7"/>
  <c r="AI11" i="7"/>
  <c r="AI9" i="7" l="1"/>
  <c r="AI8" i="7"/>
  <c r="AJ11" i="7"/>
  <c r="AI10" i="7"/>
  <c r="AJ9" i="7" l="1"/>
  <c r="AJ8" i="7"/>
  <c r="AJ10" i="7"/>
  <c r="AK11" i="7"/>
  <c r="AK9" i="7" l="1"/>
  <c r="AK8" i="7"/>
  <c r="AK10" i="7"/>
  <c r="AL11" i="7"/>
  <c r="AM11" i="7" s="1"/>
  <c r="AN11" i="7" l="1"/>
  <c r="AM8" i="7"/>
  <c r="AM9" i="7"/>
  <c r="AM10" i="7"/>
  <c r="AL9" i="7"/>
  <c r="AL8" i="7"/>
  <c r="AL10" i="7"/>
  <c r="AN9" i="7" l="1"/>
  <c r="AN8" i="7"/>
  <c r="AO11" i="7"/>
  <c r="AN10" i="7"/>
  <c r="AP11" i="7" l="1"/>
  <c r="AO10" i="7"/>
  <c r="AO9" i="7"/>
  <c r="AO8" i="7"/>
  <c r="AP10" i="7" l="1"/>
  <c r="AP8" i="7"/>
  <c r="AP9" i="7"/>
  <c r="AQ11" i="7"/>
  <c r="AQ9" i="7" s="1" a="1"/>
  <c r="AQ9" i="7" s="1"/>
  <c r="AR11" i="7" l="1"/>
  <c r="AQ8" i="7"/>
  <c r="AQ10" i="7"/>
  <c r="AS11" i="7" l="1"/>
  <c r="AR8" i="7"/>
  <c r="AR10" i="7"/>
  <c r="AR9" i="7"/>
  <c r="AT11" i="7" l="1"/>
  <c r="AU11" i="7" s="1"/>
  <c r="AS10" i="7"/>
  <c r="AS9" i="7"/>
  <c r="AS8" i="7"/>
  <c r="AU10" i="7" l="1"/>
  <c r="AU8" i="7"/>
  <c r="AV11" i="7"/>
  <c r="AU9" i="7"/>
  <c r="AT10" i="7"/>
  <c r="AT9" i="7"/>
  <c r="AT8" i="7"/>
  <c r="AW11" i="7" l="1"/>
  <c r="AV9" i="7"/>
  <c r="AV10" i="7"/>
  <c r="AV8" i="7"/>
  <c r="AX11" i="7" l="1"/>
  <c r="AW8" i="7"/>
  <c r="AW9" i="7"/>
  <c r="AW10" i="7"/>
  <c r="AY11" i="7" l="1"/>
  <c r="AX9" i="7"/>
  <c r="AX8" i="7"/>
  <c r="AX10" i="7"/>
  <c r="AY9" i="7" l="1"/>
  <c r="AZ11" i="7"/>
  <c r="AY10" i="7"/>
  <c r="AY8" i="7"/>
  <c r="BA11" i="7" l="1"/>
  <c r="AZ9" i="7"/>
  <c r="AZ10" i="7"/>
  <c r="AZ8" i="7"/>
  <c r="BB11" i="7" l="1"/>
  <c r="BA8" i="7"/>
  <c r="BA9" i="7"/>
  <c r="BA10" i="7"/>
  <c r="BC11" i="7" l="1"/>
  <c r="BB9" i="7"/>
  <c r="BB8" i="7"/>
  <c r="BB10" i="7"/>
  <c r="BC9" i="7" l="1"/>
  <c r="BD11" i="7"/>
  <c r="BC10" i="7"/>
  <c r="BC8" i="7"/>
  <c r="BE11" i="7" l="1"/>
  <c r="BF11" i="7" s="1"/>
  <c r="BD10" i="7"/>
  <c r="BD9" i="7"/>
  <c r="BD8" i="7"/>
  <c r="BG11" i="7" l="1"/>
  <c r="BF10" i="7"/>
  <c r="BF9" i="7" a="1"/>
  <c r="BF9" i="7" s="1"/>
  <c r="BF8" i="7"/>
  <c r="BE9" i="7" a="1"/>
  <c r="BE9" i="7" s="1"/>
  <c r="BE10" i="7"/>
  <c r="BE8" i="7"/>
  <c r="BG8" i="7" l="1"/>
  <c r="BG9" i="7" a="1"/>
  <c r="BG9" i="7" s="1"/>
  <c r="BH11" i="7"/>
  <c r="BG10" i="7"/>
  <c r="BI11" i="7" l="1"/>
  <c r="BH10" i="7"/>
  <c r="BH8" i="7"/>
  <c r="BH9" i="7" a="1"/>
  <c r="BH9" i="7" s="1"/>
  <c r="BI8" i="7" l="1"/>
  <c r="BI9" i="7" a="1"/>
  <c r="BI9" i="7" s="1"/>
  <c r="BI10" i="7"/>
  <c r="BJ11" i="7"/>
  <c r="BJ9" i="7" l="1" a="1"/>
  <c r="BJ9" i="7" s="1"/>
  <c r="BJ8" i="7"/>
  <c r="BK11" i="7"/>
  <c r="BJ10" i="7"/>
  <c r="BL11" i="7" l="1"/>
  <c r="BK9" i="7" a="1"/>
  <c r="BK9" i="7" s="1"/>
  <c r="BK8" i="7"/>
  <c r="BK10" i="7"/>
  <c r="BM11" i="7" l="1"/>
  <c r="BL8" i="7"/>
  <c r="BL9" i="7" a="1"/>
  <c r="BL9" i="7" s="1"/>
  <c r="BL10" i="7"/>
  <c r="BN11" i="7" l="1"/>
  <c r="BM10" i="7"/>
  <c r="BM8" i="7"/>
  <c r="BM9" i="7" a="1"/>
  <c r="BM9" i="7" s="1"/>
  <c r="BO11" i="7" l="1"/>
  <c r="BN9" i="7" a="1"/>
  <c r="BN9" i="7" s="1"/>
  <c r="BN10" i="7"/>
  <c r="BN8" i="7"/>
  <c r="BO10" i="7" l="1"/>
  <c r="BO8" i="7"/>
  <c r="BO9" i="7" a="1"/>
  <c r="BO9" i="7" s="1"/>
  <c r="BP11" i="7"/>
  <c r="BQ11" i="7" l="1"/>
  <c r="BP8" i="7"/>
  <c r="BP10" i="7"/>
  <c r="BP9" i="7" a="1"/>
  <c r="BP9" i="7" s="1"/>
  <c r="BQ9" i="7" l="1" a="1"/>
  <c r="BQ9" i="7" s="1"/>
  <c r="BQ8" i="7"/>
  <c r="BQ10" i="7"/>
  <c r="BR11" i="7"/>
  <c r="BS11" i="7" l="1"/>
  <c r="BR8" i="7"/>
  <c r="BR10" i="7"/>
  <c r="BR9" i="7" a="1"/>
  <c r="BR9" i="7" s="1"/>
  <c r="BT11" i="7" l="1"/>
  <c r="BS10" i="7"/>
  <c r="BS8" i="7"/>
  <c r="BS9" i="7" a="1"/>
  <c r="BS9" i="7" s="1"/>
  <c r="BU11" i="7" l="1"/>
  <c r="BT8" i="7"/>
  <c r="BT9" i="7" a="1"/>
  <c r="BT9" i="7" s="1"/>
  <c r="BT10" i="7"/>
  <c r="BV11" i="7" l="1"/>
  <c r="BW11" i="7" s="1"/>
  <c r="BU10" i="7"/>
  <c r="BU8" i="7"/>
  <c r="BU9" i="7" a="1"/>
  <c r="BU9" i="7" s="1"/>
  <c r="BW8" i="7" l="1"/>
  <c r="BW10" i="7"/>
  <c r="BX11" i="7"/>
  <c r="BW9" i="7" a="1"/>
  <c r="BW9" i="7" s="1"/>
  <c r="BV10" i="7"/>
  <c r="BV8" i="7"/>
  <c r="BV9" i="7" a="1"/>
  <c r="BV9" i="7" s="1"/>
  <c r="BX10" i="7" l="1"/>
  <c r="BX8" i="7"/>
  <c r="BY11" i="7"/>
  <c r="BX9" i="7" a="1"/>
  <c r="BX9" i="7" s="1"/>
  <c r="BY8" i="7" l="1"/>
  <c r="BY10" i="7"/>
  <c r="BY9" i="7" a="1"/>
  <c r="BY9" i="7" s="1"/>
  <c r="BZ11" i="7"/>
  <c r="CA11" i="7" l="1"/>
  <c r="BZ9" i="7" a="1"/>
  <c r="BZ9" i="7" s="1"/>
  <c r="BZ8" i="7"/>
  <c r="BZ10" i="7"/>
  <c r="CA8" i="7" l="1"/>
  <c r="CB11" i="7"/>
  <c r="CA9" i="7" a="1"/>
  <c r="CA9" i="7" s="1"/>
  <c r="CA10" i="7"/>
  <c r="CB10" i="7" l="1"/>
  <c r="CB9" i="7" a="1"/>
  <c r="CB9" i="7" s="1"/>
  <c r="CC11" i="7"/>
  <c r="CB8" i="7"/>
  <c r="CC8" i="7" l="1"/>
  <c r="CC10" i="7"/>
  <c r="CC9" i="7" a="1"/>
  <c r="CC9" i="7" s="1"/>
  <c r="CD11" i="7"/>
  <c r="CE11" i="7" l="1"/>
  <c r="CD9" i="7" a="1"/>
  <c r="CD9" i="7" s="1"/>
  <c r="CD8" i="7"/>
  <c r="CD10" i="7"/>
  <c r="CE8" i="7" l="1"/>
  <c r="CF11" i="7"/>
  <c r="CE9" i="7" a="1"/>
  <c r="CE9" i="7" s="1"/>
  <c r="CE10" i="7"/>
  <c r="CF10" i="7" l="1"/>
  <c r="CF9" i="7" a="1"/>
  <c r="CF9" i="7" s="1"/>
  <c r="CG11" i="7"/>
  <c r="CF8" i="7"/>
  <c r="CG8" i="7" l="1"/>
  <c r="CH11" i="7"/>
  <c r="CG10" i="7"/>
  <c r="CG9" i="7" a="1"/>
  <c r="CG9" i="7" s="1"/>
  <c r="CI11" i="7" l="1"/>
  <c r="CJ11" i="7" s="1"/>
  <c r="CH10" i="7"/>
  <c r="CH9" i="7" a="1"/>
  <c r="CH9" i="7" s="1"/>
  <c r="CH8" i="7"/>
  <c r="CK11" i="7" l="1"/>
  <c r="CJ10" i="7"/>
  <c r="CJ9" i="7" a="1"/>
  <c r="CJ9" i="7" s="1"/>
  <c r="CJ8" i="7"/>
  <c r="CI8" i="7"/>
  <c r="CI10" i="7"/>
  <c r="CI9" i="7" a="1"/>
  <c r="CI9" i="7" s="1"/>
  <c r="CK8" i="7" l="1"/>
  <c r="CK9" i="7" a="1"/>
  <c r="CK9" i="7" s="1"/>
  <c r="CK10" i="7"/>
  <c r="CL11" i="7"/>
  <c r="CL10" i="7" l="1"/>
  <c r="CL9" i="7" a="1"/>
  <c r="CL9" i="7" s="1"/>
  <c r="CL8" i="7"/>
  <c r="CM11" i="7"/>
  <c r="CM10" i="7" l="1"/>
  <c r="CM9" i="7" a="1"/>
  <c r="CM9" i="7" s="1"/>
  <c r="CM8" i="7"/>
  <c r="CN11" i="7"/>
  <c r="CO11" i="7" l="1"/>
  <c r="CN9" i="7" a="1"/>
  <c r="CN9" i="7" s="1"/>
  <c r="CN10" i="7"/>
  <c r="CN8" i="7"/>
  <c r="CO8" i="7" l="1"/>
  <c r="CP11" i="7"/>
  <c r="CO9" i="7" a="1"/>
  <c r="CO9" i="7" s="1"/>
  <c r="CO10" i="7"/>
  <c r="CP10" i="7" l="1"/>
  <c r="CP9" i="7" a="1"/>
  <c r="CP9" i="7" s="1"/>
  <c r="CP8" i="7"/>
  <c r="CQ11" i="7"/>
  <c r="CQ10" i="7" l="1"/>
  <c r="CQ9" i="7" a="1"/>
  <c r="CQ9" i="7" s="1"/>
  <c r="CR11" i="7"/>
  <c r="CQ8" i="7"/>
  <c r="CS11" i="7" l="1"/>
  <c r="CR8" i="7"/>
  <c r="CR9" i="7" a="1"/>
  <c r="CR9" i="7" s="1"/>
  <c r="CR10" i="7"/>
  <c r="CS8" i="7" l="1"/>
  <c r="CS9" i="7" a="1"/>
  <c r="CS9" i="7" s="1"/>
  <c r="CS10" i="7"/>
  <c r="CT11" i="7"/>
  <c r="CT10" i="7" l="1"/>
  <c r="CT9" i="7" a="1"/>
  <c r="CT9" i="7" s="1"/>
  <c r="CT8" i="7"/>
  <c r="CU11" i="7"/>
  <c r="CU10" i="7" l="1"/>
  <c r="CU9" i="7" a="1"/>
  <c r="CU9" i="7" s="1"/>
  <c r="CV11" i="7"/>
  <c r="CU8" i="7"/>
  <c r="CW11" i="7" l="1"/>
  <c r="CV8" i="7"/>
  <c r="CV9" i="7" a="1"/>
  <c r="CV9" i="7" s="1"/>
  <c r="CV10" i="7"/>
  <c r="CX11" i="7" l="1"/>
  <c r="CW8" i="7"/>
  <c r="CW10" i="7"/>
  <c r="CW9" i="7" a="1"/>
  <c r="CW9" i="7" s="1"/>
  <c r="CY11" i="7" l="1"/>
  <c r="CZ11" i="7" s="1"/>
  <c r="CX10" i="7"/>
  <c r="CX9" i="7" a="1"/>
  <c r="CX9" i="7" s="1"/>
  <c r="CX8" i="7"/>
  <c r="DA11" i="7" l="1"/>
  <c r="CZ10" i="7"/>
  <c r="CZ9" i="7" a="1"/>
  <c r="CZ9" i="7" s="1"/>
  <c r="CZ8" i="7"/>
  <c r="CY9" i="7" a="1"/>
  <c r="CY9" i="7" s="1"/>
  <c r="CY8" i="7"/>
  <c r="CY10" i="7"/>
  <c r="DA8" i="7" l="1"/>
  <c r="DA9" i="7" a="1"/>
  <c r="DA9" i="7" s="1"/>
  <c r="DA10" i="7"/>
  <c r="DB11" i="7"/>
  <c r="DB9" i="7" l="1" a="1"/>
  <c r="DB9" i="7" s="1"/>
  <c r="DB10" i="7"/>
  <c r="DB8" i="7"/>
  <c r="DC11" i="7"/>
  <c r="DC10" i="7" l="1"/>
  <c r="DD11" i="7"/>
  <c r="DC9" i="7" a="1"/>
  <c r="DC9" i="7" s="1"/>
  <c r="DC8" i="7"/>
  <c r="DE11" i="7" l="1"/>
  <c r="DD9" i="7" a="1"/>
  <c r="DD9" i="7" s="1"/>
  <c r="DD8" i="7"/>
  <c r="DD10" i="7"/>
  <c r="DF11" i="7" l="1"/>
  <c r="DE8" i="7"/>
  <c r="DE9" i="7" a="1"/>
  <c r="DE9" i="7" s="1"/>
  <c r="DE10" i="7"/>
  <c r="DG11" i="7" l="1"/>
  <c r="DF9" i="7" a="1"/>
  <c r="DF9" i="7" s="1"/>
  <c r="DF10" i="7"/>
  <c r="DF8" i="7"/>
  <c r="DH11" i="7" l="1"/>
  <c r="DG8" i="7"/>
  <c r="DG9" i="7" a="1"/>
  <c r="DG9" i="7" s="1"/>
  <c r="DG10" i="7"/>
  <c r="DH8" i="7" l="1"/>
  <c r="DH10" i="7"/>
  <c r="DH9" i="7" a="1"/>
  <c r="DH9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RAKOTOMAVO</author>
  </authors>
  <commentList>
    <comment ref="D12" authorId="0" shapeId="0" xr:uid="{B7D079DB-F3BF-4205-A2EF-94A5250B12ED}">
      <text>
        <r>
          <rPr>
            <b/>
            <sz val="8"/>
            <color indexed="81"/>
            <rFont val="Arial"/>
            <family val="2"/>
          </rPr>
          <t>Ne doit pas être une date de Weekend ou jour férié si cellule B9 = "Non"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<sst xmlns="http://schemas.openxmlformats.org/spreadsheetml/2006/main" count="117" uniqueCount="88">
  <si>
    <t>Scope of Work</t>
  </si>
  <si>
    <t>Informations</t>
  </si>
  <si>
    <t>Client</t>
  </si>
  <si>
    <t>Auteur / Contact</t>
  </si>
  <si>
    <t>Site(s) du client</t>
  </si>
  <si>
    <t>Description du projet</t>
  </si>
  <si>
    <t>Note importante</t>
  </si>
  <si>
    <t>Les tâches non mentionnées dans le tableau ci-dessous peuvent impacter la durée d’exécution du projet et seront considérées comme une nouvelle demande (et sujet à une nouvelle facturation).</t>
  </si>
  <si>
    <t>Répartion des tâches</t>
  </si>
  <si>
    <t>Phase</t>
  </si>
  <si>
    <t>Type</t>
  </si>
  <si>
    <t>Tâche</t>
  </si>
  <si>
    <t>Description</t>
  </si>
  <si>
    <t>Site(s) concerné(s)</t>
  </si>
  <si>
    <t>Difficulté</t>
  </si>
  <si>
    <t>Nb 
intervenants</t>
  </si>
  <si>
    <t>Durée</t>
  </si>
  <si>
    <t>Phase 1</t>
  </si>
  <si>
    <t>Préparation</t>
  </si>
  <si>
    <t>Gestion de projet</t>
  </si>
  <si>
    <t>Antananarivo</t>
  </si>
  <si>
    <t>Ing-1</t>
  </si>
  <si>
    <t>Livraision des equipements</t>
  </si>
  <si>
    <t>Ing-2</t>
  </si>
  <si>
    <t>Phase 2</t>
  </si>
  <si>
    <t>Implémentation</t>
  </si>
  <si>
    <t>Desinstallation</t>
  </si>
  <si>
    <t>Installation physique</t>
  </si>
  <si>
    <t>Configuration</t>
  </si>
  <si>
    <t>Test(s) de validation</t>
  </si>
  <si>
    <t>Post_Implémentation</t>
  </si>
  <si>
    <t>Transfert de compétence</t>
  </si>
  <si>
    <t>Rédaction livrable(s)</t>
  </si>
  <si>
    <t>Récapitulatif</t>
  </si>
  <si>
    <t>Durée totale</t>
  </si>
  <si>
    <t>Total général</t>
  </si>
  <si>
    <t>Planning Théorique</t>
  </si>
  <si>
    <t>1ère semaine affichée</t>
  </si>
  <si>
    <t>Début projet</t>
  </si>
  <si>
    <t>Service pdt WE &amp; Jours féries</t>
  </si>
  <si>
    <t>Non</t>
  </si>
  <si>
    <t>Type Affichage</t>
  </si>
  <si>
    <t>Jour</t>
  </si>
  <si>
    <t>Affichage mois calendaire</t>
  </si>
  <si>
    <t>Oui</t>
  </si>
  <si>
    <t>Catégorie</t>
  </si>
  <si>
    <t>Début</t>
  </si>
  <si>
    <t>Fin</t>
  </si>
  <si>
    <t>Jour férié</t>
  </si>
  <si>
    <t>Préparation / Conception</t>
  </si>
  <si>
    <t>Audit</t>
  </si>
  <si>
    <t>Jour de l'an</t>
  </si>
  <si>
    <t>Maintenance / Assistance</t>
  </si>
  <si>
    <t>Collecte d'information</t>
  </si>
  <si>
    <t>Journée Internationale de la femme</t>
  </si>
  <si>
    <t>Mise en place outil d'analyse</t>
  </si>
  <si>
    <t>Test</t>
  </si>
  <si>
    <t>Jour des Martyrs (insurrection de 1947)</t>
  </si>
  <si>
    <t>Analyse</t>
  </si>
  <si>
    <t>Aïd el-Fitr (Musulmans)</t>
  </si>
  <si>
    <t>Audit / Analyse</t>
  </si>
  <si>
    <t>Pâques</t>
  </si>
  <si>
    <t>Lab / Simulation</t>
  </si>
  <si>
    <t>Lundi de Pâques</t>
  </si>
  <si>
    <t>Formation</t>
  </si>
  <si>
    <t>Fête du travail</t>
  </si>
  <si>
    <t>Rédaction Livrable(s)</t>
  </si>
  <si>
    <t>Ascension</t>
  </si>
  <si>
    <t>Pentecôte</t>
  </si>
  <si>
    <t>Lundi de Pentecôte</t>
  </si>
  <si>
    <t>Fête de l'Independance</t>
  </si>
  <si>
    <t>Type de phase</t>
  </si>
  <si>
    <t>Assomption</t>
  </si>
  <si>
    <t>Toussaint</t>
  </si>
  <si>
    <t>Noël</t>
  </si>
  <si>
    <t>Solondrainy Aurélien ANTSARILALA | IT Engineer | aurelien@nexthope.net | +261 32 55 129 06</t>
  </si>
  <si>
    <t>- Test de connectivité WAN/LAN.
- Test de montée du tunnel VPN.
- Vérification de la supervision.</t>
  </si>
  <si>
    <t>Phase 3</t>
  </si>
  <si>
    <t>Phase 3 : Post implemantation Siege</t>
  </si>
  <si>
    <t>Post-Implémentation</t>
  </si>
  <si>
    <t>- Analyse et collecte de la configuration existante.</t>
  </si>
  <si>
    <t>UNIMA Mahajamba</t>
  </si>
  <si>
    <t>Orange Madagascar (UNIMA)</t>
  </si>
  <si>
    <t>Remplacement du routeur au site UNIMA Mahajamba</t>
  </si>
  <si>
    <t>Phase 1 : Préparation</t>
  </si>
  <si>
    <t>Phase 2 : Implémentation</t>
  </si>
  <si>
    <t>- Remplacement du routeur.
- Configuration du modem LTE comme lien WAN principal.
- Configuration de l’interface LAN pour la distribution locale.
- Établissement d’un tunnel VPN sécurisé vers le siège.
- Configuration SNMP pour supervision distante.</t>
  </si>
  <si>
    <t>Remplacement du routeur du site UNIMA Mahajamba par un nouvel équipement Cisco, incluant la mise à jour de la configuration réseau, la mise en place d’un tunnel VPN sécurisé vers le siège, et la validation complète de la connectivité et des 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</si>
</sst>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General\ &quot; Jr(s)&quot;"/>
    <numFmt numFmtId="165" formatCode="0.0&quot; Jr(s)&quot;"/>
    <numFmt numFmtId="166" formatCode="d"/>
    <numFmt numFmtId="167" formatCode="[$-F800]dddd\,\ mmmm\ dd\,\ yyyy"/>
    <numFmt numFmtId="168" formatCode="0&quot; Jr(s)&quot;"/>
    <numFmt numFmtId="169" formatCode="General\ &quot;pers&quot;\."/>
  </numFmts>
  <fonts count="27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20"/>
      <color rgb="FFA41D66"/>
      <name val="Arial"/>
      <family val="2"/>
    </font>
    <font>
      <b/>
      <sz val="14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u/>
      <sz val="10"/>
      <color rgb="FFA41D66"/>
      <name val="Arial"/>
      <family val="2"/>
    </font>
    <font>
      <b/>
      <sz val="8"/>
      <color theme="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8"/>
      <color rgb="FF444444"/>
      <name val="Arial"/>
      <family val="2"/>
    </font>
    <font>
      <b/>
      <sz val="8"/>
      <color rgb="FF444444"/>
      <name val="Arial"/>
      <family val="2"/>
    </font>
    <font>
      <b/>
      <sz val="10"/>
      <color theme="0"/>
      <name val="Arial"/>
      <family val="2"/>
    </font>
    <font>
      <b/>
      <sz val="8"/>
      <color indexed="81"/>
      <name val="Arial"/>
      <family val="2"/>
    </font>
    <font>
      <b/>
      <sz val="9"/>
      <name val="Arial"/>
      <family val="2"/>
    </font>
    <font>
      <b/>
      <sz val="12"/>
      <color theme="1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8"/>
      <color rgb="FFA41D66"/>
      <name val="Arial"/>
      <family val="2"/>
    </font>
    <font>
      <sz val="8"/>
      <color theme="1"/>
      <name val="Arial"/>
    </font>
    <font>
      <sz val="8"/>
      <color theme="0"/>
      <name val="Arial"/>
    </font>
    <font>
      <b/>
      <sz val="8"/>
      <color theme="0"/>
      <name val="Arial"/>
    </font>
  </fonts>
  <fills count="7">
    <fill>
      <patternFill patternType="none"/>
    </fill>
    <fill>
      <patternFill patternType="gray125"/>
    </fill>
    <fill>
      <patternFill patternType="solid">
        <fgColor rgb="FF643288"/>
        <bgColor indexed="64"/>
      </patternFill>
    </fill>
    <fill>
      <patternFill patternType="solid">
        <fgColor rgb="FFA41D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rgb="FF643288"/>
      </left>
      <right/>
      <top/>
      <bottom/>
      <diagonal/>
    </border>
    <border>
      <left/>
      <right style="thin">
        <color rgb="FF643288"/>
      </right>
      <top/>
      <bottom/>
      <diagonal/>
    </border>
    <border>
      <left style="thin">
        <color rgb="FF643288"/>
      </left>
      <right/>
      <top/>
      <bottom style="thin">
        <color rgb="FF643288"/>
      </bottom>
      <diagonal/>
    </border>
    <border>
      <left/>
      <right/>
      <top/>
      <bottom style="thin">
        <color rgb="FF643288"/>
      </bottom>
      <diagonal/>
    </border>
    <border>
      <left/>
      <right style="thin">
        <color rgb="FF643288"/>
      </right>
      <top/>
      <bottom style="thin">
        <color rgb="FF643288"/>
      </bottom>
      <diagonal/>
    </border>
    <border>
      <left style="thin">
        <color rgb="FF643288"/>
      </left>
      <right style="thin">
        <color rgb="FF643288"/>
      </right>
      <top style="thin">
        <color rgb="FF643288"/>
      </top>
      <bottom style="thin">
        <color rgb="FF643288"/>
      </bottom>
      <diagonal/>
    </border>
    <border>
      <left style="thin">
        <color rgb="FF643288"/>
      </left>
      <right/>
      <top style="thin">
        <color rgb="FF643288"/>
      </top>
      <bottom style="thin">
        <color theme="0"/>
      </bottom>
      <diagonal/>
    </border>
    <border>
      <left/>
      <right/>
      <top style="thin">
        <color rgb="FF643288"/>
      </top>
      <bottom style="thin">
        <color theme="0"/>
      </bottom>
      <diagonal/>
    </border>
    <border>
      <left/>
      <right style="thin">
        <color rgb="FF643288"/>
      </right>
      <top style="thin">
        <color rgb="FF643288"/>
      </top>
      <bottom style="thin">
        <color theme="0"/>
      </bottom>
      <diagonal/>
    </border>
    <border>
      <left style="thin">
        <color rgb="FF643288"/>
      </left>
      <right/>
      <top style="thin">
        <color rgb="FF643288"/>
      </top>
      <bottom/>
      <diagonal/>
    </border>
    <border>
      <left/>
      <right/>
      <top style="thin">
        <color rgb="FF643288"/>
      </top>
      <bottom/>
      <diagonal/>
    </border>
    <border>
      <left/>
      <right style="thin">
        <color rgb="FF643288"/>
      </right>
      <top style="thin">
        <color rgb="FF643288"/>
      </top>
      <bottom/>
      <diagonal/>
    </border>
    <border>
      <left style="thin">
        <color rgb="FF643288"/>
      </left>
      <right style="thin">
        <color rgb="FF643288"/>
      </right>
      <top/>
      <bottom style="thin">
        <color rgb="FF643288"/>
      </bottom>
      <diagonal/>
    </border>
    <border>
      <left style="thin">
        <color rgb="FF643288"/>
      </left>
      <right style="thin">
        <color rgb="FF643288"/>
      </right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rgb="FF643288"/>
      </left>
      <right/>
      <top/>
      <bottom style="thin">
        <color theme="0"/>
      </bottom>
      <diagonal/>
    </border>
    <border>
      <left/>
      <right style="thin">
        <color rgb="FF643288"/>
      </right>
      <top style="thin">
        <color rgb="FF643288"/>
      </top>
      <bottom style="thin">
        <color rgb="FF643288"/>
      </bottom>
      <diagonal/>
    </border>
    <border>
      <left style="thin">
        <color rgb="FF643288"/>
      </left>
      <right/>
      <top style="thin">
        <color rgb="FF643288"/>
      </top>
      <bottom style="thin">
        <color rgb="FF643288"/>
      </bottom>
      <diagonal/>
    </border>
    <border>
      <left/>
      <right/>
      <top style="thin">
        <color rgb="FF643288"/>
      </top>
      <bottom style="thin">
        <color rgb="FF643288"/>
      </bottom>
      <diagonal/>
    </border>
    <border>
      <left/>
      <right/>
      <top style="thin">
        <color indexed="64"/>
      </top>
      <bottom/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3743705557422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/>
      <top/>
      <bottom style="hair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3" fillId="0" borderId="0" applyNumberFormat="0" applyFill="0" applyBorder="0" applyAlignment="0" applyProtection="0"/>
    <xf numFmtId="0" fontId="14" fillId="0" borderId="0"/>
    <xf numFmtId="14" fontId="12" fillId="0" borderId="0" applyFont="0" applyFill="0" applyBorder="0">
      <alignment horizontal="center" vertical="center"/>
    </xf>
  </cellStyleXfs>
  <cellXfs count="105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/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5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4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 indent="2"/>
    </xf>
    <xf numFmtId="167" fontId="16" fillId="0" borderId="0" xfId="0" applyNumberFormat="1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" fillId="2" borderId="16" xfId="0" applyFont="1" applyFill="1" applyBorder="1" applyAlignment="1">
      <alignment vertical="center"/>
    </xf>
    <xf numFmtId="0" fontId="2" fillId="2" borderId="16" xfId="0" applyFont="1" applyFill="1" applyBorder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4" fontId="1" fillId="0" borderId="17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65" fontId="2" fillId="0" borderId="2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3" xfId="0" applyFont="1" applyBorder="1" applyAlignment="1">
      <alignment vertical="center"/>
    </xf>
    <xf numFmtId="0" fontId="11" fillId="2" borderId="16" xfId="0" applyFont="1" applyFill="1" applyBorder="1" applyAlignment="1">
      <alignment horizontal="left" vertical="center"/>
    </xf>
    <xf numFmtId="0" fontId="1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166" fontId="1" fillId="4" borderId="25" xfId="0" applyNumberFormat="1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19" fillId="0" borderId="0" xfId="1" applyFont="1" applyFill="1" applyAlignment="1">
      <alignment horizontal="left" vertical="center" wrapText="1"/>
    </xf>
    <xf numFmtId="0" fontId="19" fillId="0" borderId="0" xfId="1" applyFont="1" applyFill="1" applyAlignment="1">
      <alignment vertical="center" wrapText="1"/>
    </xf>
    <xf numFmtId="14" fontId="9" fillId="0" borderId="0" xfId="0" applyNumberFormat="1" applyFont="1" applyAlignment="1">
      <alignment horizontal="left" vertical="center"/>
    </xf>
    <xf numFmtId="0" fontId="11" fillId="0" borderId="28" xfId="0" applyFont="1" applyBorder="1" applyAlignment="1">
      <alignment horizontal="left" vertical="center"/>
    </xf>
    <xf numFmtId="0" fontId="2" fillId="6" borderId="27" xfId="0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169" fontId="9" fillId="0" borderId="0" xfId="0" applyNumberFormat="1" applyFont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/>
    </xf>
    <xf numFmtId="0" fontId="1" fillId="0" borderId="0" xfId="0" quotePrefix="1" applyFont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7" fillId="2" borderId="11" xfId="0" applyFont="1" applyFill="1" applyBorder="1" applyAlignment="1">
      <alignment horizontal="left" vertical="center"/>
    </xf>
    <xf numFmtId="0" fontId="17" fillId="2" borderId="12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9" fillId="0" borderId="0" xfId="0" quotePrefix="1" applyFont="1" applyAlignment="1">
      <alignment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31" xfId="0" quotePrefix="1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/>
    </xf>
    <xf numFmtId="169" fontId="9" fillId="0" borderId="31" xfId="0" applyNumberFormat="1" applyFont="1" applyBorder="1" applyAlignment="1">
      <alignment horizontal="center" vertical="center"/>
    </xf>
    <xf numFmtId="165" fontId="22" fillId="0" borderId="0" xfId="0" applyNumberFormat="1" applyFont="1" applyAlignment="1">
      <alignment horizontal="center" vertical="center"/>
    </xf>
    <xf numFmtId="165" fontId="9" fillId="0" borderId="32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vertical="center" wrapText="1"/>
    </xf>
    <xf numFmtId="0" fontId="25" fillId="3" borderId="2" xfId="0" applyFont="1" applyFill="1" applyBorder="1" applyAlignment="1">
      <alignment vertical="center"/>
    </xf>
    <xf numFmtId="0" fontId="25" fillId="3" borderId="3" xfId="0" applyFont="1" applyFill="1" applyBorder="1" applyAlignment="1">
      <alignment horizontal="center" vertical="center" wrapText="1"/>
    </xf>
    <xf numFmtId="0" fontId="24" fillId="0" borderId="29" xfId="0" applyFont="1" applyBorder="1"/>
    <xf numFmtId="0" fontId="17" fillId="2" borderId="11" xfId="0" applyFont="1" applyFill="1" applyBorder="1" applyAlignment="1">
      <alignment horizontal="left" vertical="center"/>
    </xf>
    <xf numFmtId="0" fontId="17" fillId="2" borderId="12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3" fillId="0" borderId="20" xfId="0" applyFont="1" applyBorder="1" applyAlignment="1">
      <alignment horizontal="left" vertical="center"/>
    </xf>
    <xf numFmtId="0" fontId="23" fillId="0" borderId="19" xfId="0" applyFont="1" applyBorder="1" applyAlignment="1">
      <alignment horizontal="left" vertical="center"/>
    </xf>
    <xf numFmtId="0" fontId="22" fillId="0" borderId="20" xfId="0" applyFont="1" applyBorder="1" applyAlignment="1">
      <alignment horizontal="left" vertical="center"/>
    </xf>
    <xf numFmtId="0" fontId="22" fillId="0" borderId="21" xfId="0" applyFont="1" applyBorder="1" applyAlignment="1">
      <alignment horizontal="left" vertical="center"/>
    </xf>
    <xf numFmtId="0" fontId="22" fillId="0" borderId="19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9" fillId="0" borderId="20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0" fillId="5" borderId="0" xfId="0" applyFont="1" applyFill="1" applyAlignment="1">
      <alignment horizontal="center" vertical="center"/>
    </xf>
    <xf numFmtId="0" fontId="7" fillId="0" borderId="0" xfId="1" applyFont="1" applyFill="1" applyAlignment="1">
      <alignment horizontal="left" vertical="center" wrapText="1"/>
    </xf>
    <xf numFmtId="0" fontId="26" fillId="3" borderId="0" xfId="0" applyFont="1" applyFill="1" applyBorder="1" applyAlignment="1">
      <alignment vertical="center"/>
    </xf>
    <xf numFmtId="0" fontId="24" fillId="0" borderId="15" xfId="0" applyNumberFormat="1" applyFont="1" applyBorder="1" applyAlignment="1">
      <alignment horizontal="center" vertical="center"/>
    </xf>
    <xf numFmtId="0" fontId="24" fillId="0" borderId="4" xfId="0" applyFont="1" applyFill="1" applyBorder="1" applyAlignment="1">
      <alignment vertical="center"/>
    </xf>
    <xf numFmtId="0" fontId="24" fillId="0" borderId="6" xfId="0" applyFont="1" applyFill="1" applyBorder="1" applyAlignment="1">
      <alignment vertical="center"/>
    </xf>
    <xf numFmtId="165" fontId="24" fillId="0" borderId="14" xfId="0" applyNumberFormat="1" applyFont="1" applyFill="1" applyBorder="1" applyAlignment="1">
      <alignment horizontal="center" vertical="center"/>
    </xf>
    <xf numFmtId="0" fontId="24" fillId="0" borderId="0" xfId="0" applyFont="1" applyBorder="1" applyAlignment="1">
      <alignment vertical="center" wrapText="1"/>
    </xf>
    <xf numFmtId="0" fontId="24" fillId="0" borderId="0" xfId="0" applyFont="1" applyBorder="1" applyAlignment="1">
      <alignment wrapText="1"/>
    </xf>
  </cellXfs>
  <cellStyles count="4">
    <cellStyle name="Date" xfId="3" xr:uid="{99FC90F6-B34B-4B27-ABC8-931A12FCDA02}"/>
    <cellStyle name="Normal" xfId="0" builtinId="0"/>
    <cellStyle name="Titre" xfId="1" builtinId="15"/>
    <cellStyle name="zTexteMasqué" xfId="2" xr:uid="{A391804F-6F24-4580-8CF3-5213C6C1029F}"/>
  </cellStyles>
  <dxfs count="2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5" formatCode="0.0&quot; Jr(s)&quot;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5" formatCode="0.0&quot; Jr(s)&quot;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righ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mediumGray">
          <fgColor theme="0" tint="-0.24994659260841701"/>
        </patternFill>
      </fill>
    </dxf>
    <dxf>
      <fill>
        <patternFill patternType="mediumGray">
          <fgColor rgb="FF7030A0"/>
        </patternFill>
      </fill>
    </dxf>
    <dxf>
      <fill>
        <patternFill>
          <bgColor theme="0" tint="-0.14996795556505021"/>
        </patternFill>
      </fill>
    </dxf>
    <dxf>
      <fill>
        <patternFill>
          <bgColor rgb="FFEADCF4"/>
        </patternFill>
      </fill>
    </dxf>
    <dxf>
      <border>
        <left style="thin">
          <color theme="0"/>
        </left>
        <vertical/>
        <horizontal/>
      </border>
    </dxf>
    <dxf>
      <fill>
        <patternFill patternType="solid">
          <bgColor theme="0" tint="-0.34998626667073579"/>
        </patternFill>
      </fill>
      <border>
        <left style="thin">
          <color theme="0"/>
        </left>
      </border>
    </dxf>
    <dxf>
      <border>
        <left style="thin">
          <color theme="0"/>
        </left>
        <vertical/>
        <horizontal/>
      </border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border>
        <left style="thin">
          <color theme="0" tint="-0.14996795556505021"/>
        </left>
        <vertical/>
        <horizontal/>
      </border>
    </dxf>
    <dxf>
      <border>
        <left style="thin">
          <color theme="0" tint="-0.14996795556505021"/>
        </left>
      </border>
    </dxf>
    <dxf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A41D66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rgb="FFA41D66"/>
        </patternFill>
      </fill>
    </dxf>
    <dxf>
      <fill>
        <patternFill patternType="solid">
          <bgColor rgb="FFA41D66"/>
        </patternFill>
      </fill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vertical style="thin">
          <color theme="0"/>
        </vertical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A41D66"/>
        </patternFill>
      </fill>
      <alignment vertical="center"/>
    </dxf>
    <dxf>
      <border>
        <right style="thin">
          <color rgb="FF643288"/>
        </right>
      </border>
    </dxf>
    <dxf>
      <border>
        <right style="thin">
          <color rgb="FF643288"/>
        </right>
      </border>
    </dxf>
    <dxf>
      <font>
        <color theme="0"/>
      </font>
      <fill>
        <patternFill patternType="solid">
          <fgColor indexed="64"/>
          <bgColor rgb="FFA41D66"/>
        </patternFill>
      </fill>
      <alignment vertical="center"/>
    </dxf>
    <dxf>
      <font>
        <b/>
      </font>
    </dxf>
    <dxf>
      <font>
        <b/>
        <color theme="0"/>
      </font>
      <fill>
        <patternFill patternType="solid">
          <fgColor indexed="64"/>
          <bgColor rgb="FFA41D66"/>
        </patternFill>
      </fill>
      <alignment vertical="center"/>
    </dxf>
    <dxf>
      <alignment wrapText="1"/>
    </dxf>
    <dxf>
      <alignment horizontal="center"/>
    </dxf>
    <dxf>
      <numFmt numFmtId="165" formatCode="0.0&quot; Jr(s)&quot;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vertical="center"/>
    </dxf>
    <dxf>
      <alignment wrapText="1"/>
    </dxf>
    <dxf>
      <border>
        <left/>
        <right/>
      </border>
    </dxf>
    <dxf>
      <border>
        <left style="thin">
          <color indexed="64"/>
        </left>
      </border>
    </dxf>
    <dxf>
      <fill>
        <patternFill patternType="none">
          <bgColor auto="1"/>
        </patternFill>
      </fill>
      <alignment vertical="center" textRotation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44444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/>
      </font>
      <alignment horizontal="left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vertical="center" textRotation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vertical="center" textRotation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</font>
      <fill>
        <patternFill patternType="none">
          <bgColor auto="1"/>
        </patternFill>
      </fill>
      <alignment vertical="center" textRotation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 val="0"/>
        <family val="2"/>
      </font>
      <fill>
        <patternFill patternType="none"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relativeIndent="-1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&quot; Jr(s)&quot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9" formatCode="General\ &quot;pers&quot;\.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>
        <left style="thin">
          <color indexed="64"/>
        </left>
      </border>
    </dxf>
    <dxf>
      <border>
        <left/>
        <right/>
      </border>
    </dxf>
    <dxf>
      <alignment wrapText="1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5" formatCode="0.0&quot; Jr(s)&quot;"/>
    </dxf>
    <dxf>
      <alignment horizontal="center"/>
    </dxf>
    <dxf>
      <alignment wrapText="1"/>
    </dxf>
    <dxf>
      <font>
        <b/>
        <color theme="0"/>
      </font>
      <fill>
        <patternFill patternType="solid">
          <fgColor indexed="64"/>
          <bgColor rgb="FFA41D66"/>
        </patternFill>
      </fill>
      <alignment vertical="center"/>
    </dxf>
    <dxf>
      <font>
        <b/>
      </font>
    </dxf>
    <dxf>
      <font>
        <color theme="0"/>
      </font>
      <fill>
        <patternFill patternType="solid">
          <fgColor indexed="64"/>
          <bgColor rgb="FFA41D66"/>
        </patternFill>
      </fill>
      <alignment vertical="center"/>
    </dxf>
    <dxf>
      <border>
        <right style="thin">
          <color rgb="FF643288"/>
        </right>
      </border>
    </dxf>
    <dxf>
      <border>
        <right style="thin">
          <color rgb="FF643288"/>
        </right>
      </border>
    </dxf>
    <dxf>
      <font>
        <color theme="0"/>
      </font>
      <fill>
        <patternFill patternType="solid">
          <fgColor indexed="64"/>
          <bgColor rgb="FFA41D66"/>
        </patternFill>
      </fill>
      <alignment vertical="center"/>
    </dxf>
    <dxf>
      <border>
        <bottom style="thin">
          <color theme="0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vertical style="thin">
          <color theme="0"/>
        </vertical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ill>
        <patternFill patternType="solid">
          <bgColor rgb="FFA41D66"/>
        </patternFill>
      </fill>
    </dxf>
    <dxf>
      <fill>
        <patternFill patternType="solid">
          <bgColor rgb="FFA41D66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thin">
          <color theme="1"/>
        </top>
      </border>
    </dxf>
    <dxf>
      <font>
        <b/>
        <color theme="1"/>
      </font>
      <border>
        <bottom style="thin">
          <color theme="1"/>
        </bottom>
      </border>
    </dxf>
    <dxf>
      <font>
        <color theme="1"/>
      </font>
      <border>
        <top style="thin">
          <color theme="1"/>
        </top>
        <bottom style="thin">
          <color theme="1"/>
        </bottom>
      </border>
    </dxf>
    <dxf>
      <border>
        <top/>
        <bottom/>
      </border>
    </dxf>
    <dxf>
      <fill>
        <patternFill>
          <bgColor theme="0" tint="-4.9989318521683403E-2"/>
        </patternFill>
      </fill>
      <border>
        <top/>
        <bottom/>
      </border>
    </dxf>
    <dxf>
      <border>
        <top/>
      </border>
    </dxf>
    <dxf>
      <font>
        <b/>
        <i val="0"/>
        <color theme="0"/>
      </font>
      <fill>
        <patternFill>
          <fgColor auto="1"/>
          <bgColor rgb="FFA41D66"/>
        </patternFill>
      </fill>
      <border>
        <left/>
        <right/>
        <top style="thin">
          <color theme="0"/>
        </top>
        <bottom/>
        <vertical/>
        <horizontal/>
      </border>
    </dxf>
    <dxf>
      <border>
        <top style="thin">
          <color theme="0"/>
        </top>
        <bottom style="thin">
          <color theme="0"/>
        </bottom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</dxf>
    <dxf>
      <font>
        <b val="0"/>
        <i val="0"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0"/>
      </font>
      <fill>
        <patternFill patternType="solid">
          <fgColor theme="4"/>
          <bgColor theme="4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ListeDesTâches" pivot="0" count="9" xr9:uid="{1E032137-4FE3-4315-BD4D-B482D2F0822F}">
      <tableStyleElement type="wholeTable" dxfId="228"/>
      <tableStyleElement type="headerRow" dxfId="227"/>
      <tableStyleElement type="totalRow" dxfId="226"/>
      <tableStyleElement type="firstColumn" dxfId="225"/>
      <tableStyleElement type="lastColumn" dxfId="224"/>
      <tableStyleElement type="firstRowStripe" dxfId="223"/>
      <tableStyleElement type="secondRowStripe" dxfId="222"/>
      <tableStyleElement type="firstColumnStripe" dxfId="221"/>
      <tableStyleElement type="secondColumnStripe" dxfId="220"/>
    </tableStyle>
    <tableStyle name="Style de tableau 1" pivot="0" count="5" xr9:uid="{00000000-0011-0000-FFFF-FFFF00000000}">
      <tableStyleElement type="wholeTable" dxfId="219"/>
      <tableStyleElement type="headerRow" dxfId="218"/>
      <tableStyleElement type="totalRow" dxfId="217"/>
      <tableStyleElement type="firstRowStripe" dxfId="216"/>
      <tableStyleElement type="secondRowStripe" dxfId="215"/>
    </tableStyle>
    <tableStyle name="TableStyleLight1 2" pivot="0" count="7" xr9:uid="{00000000-0011-0000-FFFF-FFFF01000000}">
      <tableStyleElement type="wholeTable" dxfId="214"/>
      <tableStyleElement type="headerRow" dxfId="213"/>
      <tableStyleElement type="totalRow" dxfId="212"/>
      <tableStyleElement type="firstColumn" dxfId="211"/>
      <tableStyleElement type="lastColumn" dxfId="210"/>
      <tableStyleElement type="firstRowStripe" dxfId="209"/>
      <tableStyleElement type="firstColumnStripe" dxfId="208"/>
    </tableStyle>
  </tableStyles>
  <colors>
    <mruColors>
      <color rgb="FFF5F5F5"/>
      <color rgb="FFF2F2F2"/>
      <color rgb="FFDCC5ED"/>
      <color rgb="FFE6E6E6"/>
      <color rgb="FFF0F0F0"/>
      <color rgb="FFECDFF5"/>
      <color rgb="FFEADCF4"/>
      <color rgb="FFECECEC"/>
      <color rgb="FF7030A0"/>
      <color rgb="FFFF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Scroll" dx="31" fmlaLink="$C$7" horiz="1" max="46" page="0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156306</xdr:colOff>
      <xdr:row>0</xdr:row>
      <xdr:rowOff>103898</xdr:rowOff>
    </xdr:from>
    <xdr:to>
      <xdr:col>2</xdr:col>
      <xdr:colOff>628650</xdr:colOff>
      <xdr:row>5</xdr:row>
      <xdr:rowOff>44450</xdr:rowOff>
    </xdr:to>
    <xdr:pic>
      <xdr:nvPicPr>
        <xdr:cNvPr id="2" name="Image 1" descr="NextHope_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6406" y="103898"/>
          <a:ext cx="1456594" cy="5755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</xdr:row>
          <xdr:rowOff>65837</xdr:rowOff>
        </xdr:from>
        <xdr:to>
          <xdr:col>37</xdr:col>
          <xdr:colOff>219456</xdr:colOff>
          <xdr:row>5</xdr:row>
          <xdr:rowOff>212141</xdr:rowOff>
        </xdr:to>
        <xdr:sp macro="" textlink="">
          <xdr:nvSpPr>
            <xdr:cNvPr id="5163" name="Scroll Bar 43" hidden="1">
              <a:extLst>
                <a:ext uri="{63B3BB69-23CF-44E3-9099-C40C66FF867C}">
                  <a14:compatExt spid="_x0000_s5163"/>
                </a:ext>
                <a:ext uri="{FF2B5EF4-FFF2-40B4-BE49-F238E27FC236}">
                  <a16:creationId xmlns:a16="http://schemas.microsoft.com/office/drawing/2014/main" id="{00000000-0008-0000-0100-00002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7</xdr:col>
      <xdr:colOff>4527</xdr:colOff>
      <xdr:row>12</xdr:row>
      <xdr:rowOff>146303</xdr:rowOff>
    </xdr:from>
    <xdr:to>
      <xdr:col>8</xdr:col>
      <xdr:colOff>4528</xdr:colOff>
      <xdr:row>13</xdr:row>
      <xdr:rowOff>190194</xdr:rowOff>
    </xdr:to>
    <xdr:sp macro="" textlink="">
      <xdr:nvSpPr>
        <xdr:cNvPr id="2" name="Triangle 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 rot="10800000">
          <a:off x="7309277" y="1989037"/>
          <a:ext cx="247324" cy="190195"/>
        </a:xfrm>
        <a:prstGeom prst="rtTriangle">
          <a:avLst/>
        </a:prstGeom>
        <a:solidFill>
          <a:schemeClr val="bg1"/>
        </a:solidFill>
        <a:ln w="63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londrainy Aurélien ANTSARILALA" refreshedDate="45944.677743518521" createdVersion="7" refreshedVersion="8" minRefreshableVersion="3" recordCount="3" xr:uid="{324B5C22-48F7-40A7-90D0-669A8B1DD383}">
  <cacheSource type="worksheet">
    <worksheetSource name="Tableau3"/>
  </cacheSource>
  <cacheFields count="8">
    <cacheField name="Phase" numFmtId="0">
      <sharedItems containsBlank="1" count="9">
        <s v="Phase 1"/>
        <s v="Phase 2"/>
        <s v="Phase 3"/>
        <m u="1"/>
        <s v="Préparation" u="1"/>
        <s v="Implémentation" u="1"/>
        <s v="Post_Implémentation" u="1"/>
        <s v="Post-Implémentation" u="1"/>
        <s v="Post-Implémnetation" u="1"/>
      </sharedItems>
    </cacheField>
    <cacheField name="Type" numFmtId="0">
      <sharedItems containsBlank="1" count="5">
        <s v="Préparation"/>
        <s v="Implémentation"/>
        <s v="Post_Implémentation"/>
        <m u="1"/>
        <s v="Audit" u="1"/>
      </sharedItems>
    </cacheField>
    <cacheField name="Tâche" numFmtId="0">
      <sharedItems containsBlank="1" count="15">
        <s v="Collecte d'information"/>
        <s v="Configuration"/>
        <s v="Test(s) de validation"/>
        <s v="Installation physique" u="1"/>
        <s v="Gestion de projet" u="1"/>
        <s v="Audit / Analyse" u="1"/>
        <s v="Lab / Simulation" u="1"/>
        <m u="1"/>
        <s v="Rédaction livrable(s)" u="1"/>
        <s v="Transfert de compétence" u="1"/>
        <s v="Livraision des equipements" u="1"/>
        <s v="Desinstallation" u="1"/>
        <s v="Préparation" u="1"/>
        <s v="Analyse" u="1"/>
        <s v="Test" u="1"/>
      </sharedItems>
    </cacheField>
    <cacheField name="Description" numFmtId="0">
      <sharedItems longText="1"/>
    </cacheField>
    <cacheField name="Site(s) concerné(s)" numFmtId="0">
      <sharedItems/>
    </cacheField>
    <cacheField name="Difficulté" numFmtId="0">
      <sharedItems/>
    </cacheField>
    <cacheField name="Nb _x000a_intervenants" numFmtId="169">
      <sharedItems containsSemiMixedTypes="0" containsString="0" containsNumber="1" containsInteger="1" minValue="1" maxValue="1"/>
    </cacheField>
    <cacheField name="Durée" numFmtId="165">
      <sharedItems containsSemiMixedTypes="0" containsString="0" containsNumber="1" minValue="0.5" maxValue="1"/>
    </cacheField>
  </cacheFields>
  <extLst>
    <ext xmlns:x14="http://schemas.microsoft.com/office/spreadsheetml/2009/9/main" uri="{725AE2AE-9491-48be-B2B4-4EB974FC3084}">
      <x14:pivotCacheDefinition pivotCacheId="21355783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x v="0"/>
    <s v="- Analyse et collecte de la configuration existante."/>
    <s v="UNIMA Mahajamba"/>
    <s v="Ing-1"/>
    <n v="1"/>
    <n v="0.5"/>
  </r>
  <r>
    <x v="1"/>
    <x v="1"/>
    <x v="1"/>
    <s v="- Désinstallation de l’ancien routeur._x000a_- Installation du nouveau routeur._x000a_- Configuration du modem LTE comme lien WAN principal._x000a_- Configuration de l’interface LAN pour la distribution locale._x000a_- Établissement d’un tunnel VPN sécurisé vers le siège._x000a_- Mise en place du routage dynamique pour l’échange de routes via le tunnel VPN._x000a_- Configuration SNMP pour supervision distante."/>
    <s v="UNIMA Mahajamba"/>
    <s v="Ing-2"/>
    <n v="1"/>
    <n v="1"/>
  </r>
  <r>
    <x v="2"/>
    <x v="2"/>
    <x v="2"/>
    <s v="- Test de connectivité WAN/LAN._x000a_- Test de montée du tunnel VPN._x000a_- Vérification de la supervision."/>
    <s v="UNIMA Mahajamba"/>
    <s v="Ing-1"/>
    <n v="1"/>
    <n v="0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0E3A9-3C5A-446F-BEF9-7358CE5F94EE}" name="Tableau croisé dynamique1" cacheId="6" applyNumberFormats="0" applyBorderFormats="0" applyFontFormats="0" applyPatternFormats="0" applyAlignmentFormats="0" applyWidthHeightFormats="1" dataCaption="Valeurs" updatedVersion="8" minRefreshableVersion="3" showDrill="0" useAutoFormatting="1" itemPrintTitles="1" createdVersion="7" indent="0" compact="0" compactData="0" multipleFieldFilters="0" chartFormat="1">
  <location ref="B26:D30" firstHeaderRow="1" firstDataRow="1" firstDataCol="2"/>
  <pivotFields count="8">
    <pivotField axis="axisRow" compact="0" outline="0" showAll="0" sortType="ascending" defaultSubtotal="0">
      <items count="9">
        <item m="1" x="5"/>
        <item x="0"/>
        <item x="1"/>
        <item x="2"/>
        <item m="1" x="6"/>
        <item m="1" x="7"/>
        <item m="1" x="8"/>
        <item m="1" x="4"/>
        <item h="1" m="1" x="3"/>
      </items>
    </pivotField>
    <pivotField compact="0" outline="0" subtotalTop="0" showAll="0" sortType="descending" defaultSubtotal="0">
      <items count="5">
        <item m="1" x="3"/>
        <item x="0"/>
        <item x="2"/>
        <item x="1"/>
        <item m="1" x="4"/>
      </items>
    </pivotField>
    <pivotField axis="axisRow" compact="0" outline="0" showAll="0" defaultSubtotal="0">
      <items count="15">
        <item x="0"/>
        <item x="1"/>
        <item m="1" x="3"/>
        <item m="1" x="6"/>
        <item m="1" x="8"/>
        <item x="2"/>
        <item m="1" x="9"/>
        <item m="1" x="7"/>
        <item m="1" x="12"/>
        <item m="1" x="13"/>
        <item m="1" x="14"/>
        <item m="1" x="4"/>
        <item m="1" x="10"/>
        <item m="1" x="11"/>
        <item m="1" x="5"/>
      </items>
    </pivotField>
    <pivotField compact="0" outline="0" showAll="0" defaultSubtotal="0"/>
    <pivotField compact="0" outline="0" subtotalTop="0" showAll="0" defaultSubtotal="0"/>
    <pivotField compact="0" outline="0" showAll="0" defaultSubtotal="0"/>
    <pivotField compact="0" numFmtId="169" outline="0" subtotalTop="0" showAll="0" defaultSubtotal="0"/>
    <pivotField dataField="1" compact="0" numFmtId="164" outline="0" showAll="0" defaultSubtotal="0"/>
  </pivotFields>
  <rowFields count="2">
    <field x="0"/>
    <field x="2"/>
  </rowFields>
  <rowItems count="4">
    <i>
      <x v="1"/>
      <x/>
    </i>
    <i>
      <x v="2"/>
      <x v="1"/>
    </i>
    <i>
      <x v="3"/>
      <x v="5"/>
    </i>
    <i t="grand">
      <x/>
    </i>
  </rowItems>
  <colItems count="1">
    <i/>
  </colItems>
  <dataFields count="1">
    <dataField name="Durée totale" fld="7" baseField="0" baseItem="0"/>
  </dataFields>
  <formats count="61">
    <format dxfId="207">
      <pivotArea type="all" dataOnly="0" outline="0" fieldPosition="0"/>
    </format>
    <format dxfId="206">
      <pivotArea outline="0" collapsedLevelsAreSubtotals="1" fieldPosition="0"/>
    </format>
    <format dxfId="205">
      <pivotArea field="0" type="button" dataOnly="0" labelOnly="1" outline="0" axis="axisRow" fieldPosition="0"/>
    </format>
    <format dxfId="204">
      <pivotArea dataOnly="0" labelOnly="1" grandRow="1" outline="0" fieldPosition="0"/>
    </format>
    <format dxfId="20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2">
      <pivotArea type="all" dataOnly="0" outline="0" fieldPosition="0"/>
    </format>
    <format dxfId="201">
      <pivotArea outline="0" collapsedLevelsAreSubtotals="1" fieldPosition="0"/>
    </format>
    <format dxfId="200">
      <pivotArea field="0" type="button" dataOnly="0" labelOnly="1" outline="0" axis="axisRow" fieldPosition="0"/>
    </format>
    <format dxfId="199">
      <pivotArea dataOnly="0" labelOnly="1" grandRow="1" outline="0" fieldPosition="0"/>
    </format>
    <format dxfId="19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7">
      <pivotArea outline="0" collapsedLevelsAreSubtotals="1" fieldPosition="0"/>
    </format>
    <format dxfId="19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5">
      <pivotArea outline="0" collapsedLevelsAreSubtotals="1" fieldPosition="0"/>
    </format>
    <format dxfId="19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3">
      <pivotArea field="0" type="button" dataOnly="0" labelOnly="1" outline="0" axis="axisRow" fieldPosition="0"/>
    </format>
    <format dxfId="19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1">
      <pivotArea field="0" type="button" dataOnly="0" labelOnly="1" outline="0" axis="axisRow" fieldPosition="0"/>
    </format>
    <format dxfId="19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9">
      <pivotArea field="0" type="button" dataOnly="0" labelOnly="1" outline="0" axis="axisRow" fieldPosition="0"/>
    </format>
    <format dxfId="18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7">
      <pivotArea grandRow="1" outline="0" collapsedLevelsAreSubtotals="1" fieldPosition="0"/>
    </format>
    <format dxfId="186">
      <pivotArea dataOnly="0" labelOnly="1" grandRow="1" outline="0" fieldPosition="0"/>
    </format>
    <format dxfId="185">
      <pivotArea type="all" dataOnly="0" outline="0" fieldPosition="0"/>
    </format>
    <format dxfId="184">
      <pivotArea outline="0" collapsedLevelsAreSubtotals="1" fieldPosition="0"/>
    </format>
    <format dxfId="183">
      <pivotArea field="0" type="button" dataOnly="0" labelOnly="1" outline="0" axis="axisRow" fieldPosition="0"/>
    </format>
    <format dxfId="182">
      <pivotArea dataOnly="0" labelOnly="1" grandRow="1" outline="0" fieldPosition="0"/>
    </format>
    <format dxfId="18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0">
      <pivotArea grandRow="1" outline="0" collapsedLevelsAreSubtotals="1" fieldPosition="0"/>
    </format>
    <format dxfId="179">
      <pivotArea dataOnly="0" labelOnly="1" grandRow="1" outline="0" fieldPosition="0"/>
    </format>
    <format dxfId="178">
      <pivotArea dataOnly="0" labelOnly="1" grandRow="1" outline="0" offset="IV256" fieldPosition="0"/>
    </format>
    <format dxfId="177">
      <pivotArea field="0" type="button" dataOnly="0" labelOnly="1" outline="0" axis="axisRow" fieldPosition="0"/>
    </format>
    <format dxfId="176">
      <pivotArea type="all" dataOnly="0" outline="0" fieldPosition="0"/>
    </format>
    <format dxfId="175">
      <pivotArea outline="0" collapsedLevelsAreSubtotals="1" fieldPosition="0"/>
    </format>
    <format dxfId="174">
      <pivotArea dataOnly="0" labelOnly="1" grandRow="1" outline="0" fieldPosition="0"/>
    </format>
    <format dxfId="17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1">
      <pivotArea dataOnly="0" labelOnly="1" outline="0" axis="axisValues" fieldPosition="0"/>
    </format>
    <format dxfId="170">
      <pivotArea outline="0" collapsedLevelsAreSubtotals="1" fieldPosition="0"/>
    </format>
    <format dxfId="169">
      <pivotArea dataOnly="0" labelOnly="1" outline="0" axis="axisValues" fieldPosition="0"/>
    </format>
    <format dxfId="168">
      <pivotArea field="2" type="button" dataOnly="0" labelOnly="1" outline="0" axis="axisRow" fieldPosition="1"/>
    </format>
    <format dxfId="167">
      <pivotArea field="2" type="button" dataOnly="0" labelOnly="1" outline="0" axis="axisRow" fieldPosition="1"/>
    </format>
    <format dxfId="166">
      <pivotArea field="1" type="button" dataOnly="0" labelOnly="1" outline="0"/>
    </format>
    <format dxfId="165">
      <pivotArea dataOnly="0" labelOnly="1" outline="0" axis="axisValues" fieldPosition="0"/>
    </format>
    <format dxfId="164">
      <pivotArea dataOnly="0" labelOnly="1" outline="0" axis="axisValues" fieldPosition="0"/>
    </format>
    <format dxfId="163">
      <pivotArea grandRow="1" outline="0" collapsedLevelsAreSubtotals="1" fieldPosition="0"/>
    </format>
    <format dxfId="162">
      <pivotArea type="all" dataOnly="0" outline="0" fieldPosition="0"/>
    </format>
    <format dxfId="161">
      <pivotArea outline="0" collapsedLevelsAreSubtotals="1" fieldPosition="0"/>
    </format>
    <format dxfId="160">
      <pivotArea field="0" type="button" dataOnly="0" labelOnly="1" outline="0" axis="axisRow" fieldPosition="0"/>
    </format>
    <format dxfId="159">
      <pivotArea field="2" type="button" dataOnly="0" labelOnly="1" outline="0" axis="axisRow" fieldPosition="1"/>
    </format>
    <format dxfId="158">
      <pivotArea dataOnly="0" labelOnly="1" outline="0" fieldPosition="0">
        <references count="1">
          <reference field="0" count="0"/>
        </references>
      </pivotArea>
    </format>
    <format dxfId="157">
      <pivotArea dataOnly="0" labelOnly="1" grandRow="1" outline="0" fieldPosition="0"/>
    </format>
    <format dxfId="156">
      <pivotArea dataOnly="0" labelOnly="1" outline="0" fieldPosition="0">
        <references count="2">
          <reference field="0" count="1" selected="0">
            <x v="1"/>
          </reference>
          <reference field="2" count="3">
            <x v="0"/>
            <x v="4"/>
            <x v="11"/>
          </reference>
        </references>
      </pivotArea>
    </format>
    <format dxfId="155">
      <pivotArea dataOnly="0" labelOnly="1" outline="0" fieldPosition="0">
        <references count="2">
          <reference field="0" count="1" selected="0">
            <x v="2"/>
          </reference>
          <reference field="2" count="2">
            <x v="1"/>
            <x v="2"/>
          </reference>
        </references>
      </pivotArea>
    </format>
    <format dxfId="154">
      <pivotArea dataOnly="0" labelOnly="1" outline="0" fieldPosition="0">
        <references count="2">
          <reference field="0" count="1" selected="0">
            <x v="3"/>
          </reference>
          <reference field="2" count="2">
            <x v="4"/>
            <x v="6"/>
          </reference>
        </references>
      </pivotArea>
    </format>
    <format dxfId="153">
      <pivotArea dataOnly="0" labelOnly="1" outline="0" axis="axisValues" fieldPosition="0"/>
    </format>
    <format dxfId="152">
      <pivotArea dataOnly="0" labelOnly="1" outline="0" fieldPosition="0">
        <references count="2">
          <reference field="0" count="1" selected="0">
            <x v="1"/>
          </reference>
          <reference field="2" count="3">
            <x v="0"/>
            <x v="4"/>
            <x v="11"/>
          </reference>
        </references>
      </pivotArea>
    </format>
    <format dxfId="151">
      <pivotArea dataOnly="0" labelOnly="1" outline="0" fieldPosition="0">
        <references count="2">
          <reference field="0" count="1" selected="0">
            <x v="2"/>
          </reference>
          <reference field="2" count="2">
            <x v="1"/>
            <x v="2"/>
          </reference>
        </references>
      </pivotArea>
    </format>
    <format dxfId="150">
      <pivotArea dataOnly="0" labelOnly="1" outline="0" fieldPosition="0">
        <references count="2">
          <reference field="0" count="1" selected="0">
            <x v="3"/>
          </reference>
          <reference field="2" count="2">
            <x v="4"/>
            <x v="6"/>
          </reference>
        </references>
      </pivotArea>
    </format>
    <format dxfId="149">
      <pivotArea dataOnly="0" labelOnly="1" outline="0" fieldPosition="0">
        <references count="1">
          <reference field="2" count="0"/>
        </references>
      </pivotArea>
    </format>
    <format dxfId="148">
      <pivotArea dataOnly="0" labelOnly="1" outline="0" fieldPosition="0">
        <references count="1">
          <reference field="0" count="0"/>
        </references>
      </pivotArea>
    </format>
    <format dxfId="147">
      <pivotArea dataOnly="0" labelOnly="1" outline="0" fieldPosition="0">
        <references count="1">
          <reference field="0" count="0"/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31EE19-AA5A-47A5-9DF3-85876091A1E1}" name="Tableau3" displayName="Tableau3" ref="B19:I22" headerRowDxfId="146" tableBorderDxfId="145">
  <sortState xmlns:xlrd2="http://schemas.microsoft.com/office/spreadsheetml/2017/richdata2" ref="B20:I21">
    <sortCondition ref="C19:C21"/>
  </sortState>
  <tableColumns count="8">
    <tableColumn id="1" xr3:uid="{BE3C1353-38BF-4190-8211-D33B4025F734}" name="Phase" dataDxfId="144" totalsRowDxfId="143"/>
    <tableColumn id="2" xr3:uid="{FF28E6AF-CA8A-4C63-A3CE-5FCC29D1A092}" name="Type" dataDxfId="142" totalsRowDxfId="141"/>
    <tableColumn id="3" xr3:uid="{6552B395-AABA-4478-85C9-A35D5BF4BB54}" name="Tâche" dataDxfId="140" totalsRowDxfId="139"/>
    <tableColumn id="4" xr3:uid="{FA41F85F-1FFC-4E9B-A6F9-EF24A4D96B10}" name="Description" dataDxfId="138" totalsRowDxfId="137"/>
    <tableColumn id="5" xr3:uid="{E7B23680-F155-496C-9995-D4E004D2463C}" name="Site(s) concerné(s)" dataDxfId="136" totalsRowDxfId="135"/>
    <tableColumn id="6" xr3:uid="{63B9A686-0AFF-4144-994D-A579C2643CEA}" name="Difficulté" dataDxfId="134" totalsRowDxfId="133"/>
    <tableColumn id="7" xr3:uid="{6CC43F70-33D9-46B5-A803-A6294ECE9930}" name="Nb _x000a_intervenants" dataDxfId="132" totalsRowDxfId="131"/>
    <tableColumn id="8" xr3:uid="{46548F77-22BB-4F87-B939-D0AF5326C13D}" name="Durée" totalsRowFunction="sum" dataDxfId="130"/>
  </tableColumns>
  <tableStyleInfo name="Style de tableau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6A15F5-3C0D-4C3E-BB0F-44B10FBBC243}" name="Tableau2" displayName="Tableau2" ref="B12:F19" totalsRowCount="1" headerRowDxfId="129" dataDxfId="127" headerRowBorderDxfId="128">
  <tableColumns count="5">
    <tableColumn id="1" xr3:uid="{98885E21-9D4A-4DEF-924E-FA1E5F588D51}" name="Tâche" dataDxfId="126" totalsRowDxfId="4">
      <calculatedColumnFormula>SoW!D19</calculatedColumnFormula>
    </tableColumn>
    <tableColumn id="4" xr3:uid="{985EB58E-CECE-472F-9798-916DFB153E6C}" name="Catégorie" dataDxfId="125" totalsRowDxfId="3"/>
    <tableColumn id="2" xr3:uid="{ABAE4723-E02E-441F-BE34-010D34237E9A}" name="Début" dataDxfId="124" totalsRowDxfId="2"/>
    <tableColumn id="3" xr3:uid="{D8FDB337-80FE-4173-A03E-123A3E5A1EEC}" name="Durée" totalsRowFunction="sum" dataDxfId="123" totalsRowDxfId="1"/>
    <tableColumn id="6" xr3:uid="{F532E47C-5BE0-46CA-88A0-826942630E6B}" name="Fin" dataDxfId="122" totalsRowDxfId="0">
      <calculatedColumnFormula>IF(Tableau2[[#This Row],[Durée]]="",0,IF($C$9="Oui",Tableau2[[#This Row],[Début]]+Tableau2[[#This Row],[Durée]]-1,WORKDAY(Tableau2[[#This Row],[Début]],Tableau2[[#This Row],[Durée]]-1,Tableau4[Jour férié])))</calculatedColumnFormula>
    </tableColumn>
  </tableColumns>
  <tableStyleInfo name="Style de tableau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E1B7C79-A0A9-44BA-8873-3C8DD64C212B}" name="Tableau8" displayName="Tableau8" ref="B3:B11" totalsRowShown="0" headerRowDxfId="121" dataDxfId="120" tableBorderDxfId="119">
  <tableColumns count="1">
    <tableColumn id="1" xr3:uid="{7F5BF202-6645-4DA8-8189-6E0A59558255}" name="Préparation / Conception" dataDxfId="118"/>
  </tableColumns>
  <tableStyleInfo name="ListeDesTâches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D2151EF-57C1-44A5-8FD2-A2D982CD17B7}" name="Tableau10" displayName="Tableau10" ref="D3:D7" totalsRowShown="0" headerRowDxfId="117" dataDxfId="116" tableBorderDxfId="115">
  <tableColumns count="1">
    <tableColumn id="1" xr3:uid="{698252F5-BC05-470B-BCFF-66493FBE5E70}" name="Implémentation" dataDxfId="114"/>
  </tableColumns>
  <tableStyleInfo name="ListeDesTâches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36A07B7-0E65-4919-918A-901A8F7FD4FF}" name="Tableau11" displayName="Tableau11" ref="F3:F7" totalsRowShown="0" headerRowDxfId="113" dataDxfId="112" tableBorderDxfId="111">
  <tableColumns count="1">
    <tableColumn id="1" xr3:uid="{4A06A5B9-A5F8-4823-BAD8-9E1A3B582C1C}" name="Post_Implémentation" dataDxfId="110"/>
  </tableColumns>
  <tableStyleInfo name="ListeDesTâches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DB664F-C7D7-40D5-B0ED-17D7B0DEE607}" name="Tableau4" displayName="Tableau4" ref="J3:K17" totalsRowShown="0" headerRowDxfId="109" dataDxfId="108">
  <tableColumns count="2">
    <tableColumn id="1" xr3:uid="{F4B70E9D-EDA4-4F38-9BCE-C00317694C45}" name="Jour férié" dataDxfId="107"/>
    <tableColumn id="2" xr3:uid="{9F7841F5-C2FE-48C9-87C3-8CBD723ED64E}" name="Description" dataDxfId="106"/>
  </tableColumns>
  <tableStyleInfo name="ListeDesTâches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3CA062-BEB5-4879-AC3F-02D34E9CFB95}" name="Tableau5" displayName="Tableau5" ref="B15:B19" totalsRowShown="0" headerRowDxfId="105" dataDxfId="104">
  <tableColumns count="1">
    <tableColumn id="1" xr3:uid="{C1B7AD2D-2D08-4C5D-95C5-2B63C668C63B}" name="Type de phase" dataDxfId="103"/>
  </tableColumns>
  <tableStyleInfo name="ListeDesTâches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E82DA7-ED3B-4AAC-9CE8-99CB51A0D07A}" name="Tableau117" displayName="Tableau117" ref="H3:H8" totalsRowShown="0" headerRowDxfId="102" dataDxfId="101" tableBorderDxfId="100">
  <tableColumns count="1">
    <tableColumn id="1" xr3:uid="{05DA9DF5-B9E1-4D77-8D9B-E01E767F4D8A}" name="Audit" dataDxfId="99"/>
  </tableColumns>
  <tableStyleInfo name="ListeDesTâches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1.xml"/><Relationship Id="rId5" Type="http://schemas.openxmlformats.org/officeDocument/2006/relationships/table" Target="../tables/table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AF2E-1550-4659-899F-C0B1E2F3C2C7}">
  <sheetPr codeName="Feuil2">
    <pageSetUpPr fitToPage="1"/>
  </sheetPr>
  <dimension ref="B1:I85"/>
  <sheetViews>
    <sheetView showGridLines="0" tabSelected="1" zoomScaleNormal="100" zoomScaleSheetLayoutView="100" workbookViewId="0">
      <selection activeCell="D13" sqref="D13:I13"/>
    </sheetView>
  </sheetViews>
  <sheetFormatPr baseColWidth="10" defaultColWidth="11.3984375" defaultRowHeight="10.4" x14ac:dyDescent="0.3"/>
  <cols>
    <col min="1" max="1" width="11.3984375" style="1"/>
    <col min="2" max="2" width="14.09765625" style="1" bestFit="1" customWidth="1"/>
    <col min="3" max="3" width="9.19921875" style="1" bestFit="1" customWidth="1"/>
    <col min="4" max="4" width="9.296875" style="1" bestFit="1" customWidth="1"/>
    <col min="5" max="5" width="53.8984375" style="1" customWidth="1"/>
    <col min="6" max="6" width="18.796875" style="1" customWidth="1"/>
    <col min="7" max="7" width="6.8984375" style="5" bestFit="1" customWidth="1"/>
    <col min="8" max="8" width="12.09765625" style="5" customWidth="1"/>
    <col min="9" max="9" width="7.09765625" style="1" bestFit="1" customWidth="1"/>
    <col min="10" max="16384" width="11.3984375" style="1"/>
  </cols>
  <sheetData>
    <row r="1" spans="2:9" x14ac:dyDescent="0.3">
      <c r="B1" s="89"/>
      <c r="C1" s="89"/>
      <c r="D1" s="90" t="s">
        <v>0</v>
      </c>
      <c r="E1" s="90"/>
      <c r="F1" s="90"/>
      <c r="G1" s="90"/>
      <c r="H1" s="90"/>
      <c r="I1" s="90"/>
    </row>
    <row r="2" spans="2:9" x14ac:dyDescent="0.3">
      <c r="B2" s="89"/>
      <c r="C2" s="89"/>
      <c r="D2" s="90"/>
      <c r="E2" s="90"/>
      <c r="F2" s="90"/>
      <c r="G2" s="90"/>
      <c r="H2" s="90"/>
      <c r="I2" s="90"/>
    </row>
    <row r="3" spans="2:9" x14ac:dyDescent="0.3">
      <c r="B3" s="89"/>
      <c r="C3" s="89"/>
      <c r="D3" s="90"/>
      <c r="E3" s="90"/>
      <c r="F3" s="90"/>
      <c r="G3" s="90"/>
      <c r="H3" s="90"/>
      <c r="I3" s="90"/>
    </row>
    <row r="4" spans="2:9" x14ac:dyDescent="0.3">
      <c r="B4" s="89"/>
      <c r="C4" s="89"/>
      <c r="D4" s="91" t="s">
        <v>83</v>
      </c>
      <c r="E4" s="91"/>
      <c r="F4" s="91"/>
      <c r="G4" s="91"/>
      <c r="H4" s="91"/>
      <c r="I4" s="91"/>
    </row>
    <row r="5" spans="2:9" x14ac:dyDescent="0.3">
      <c r="B5" s="89"/>
      <c r="C5" s="89"/>
      <c r="D5" s="91"/>
      <c r="E5" s="91"/>
      <c r="F5" s="91"/>
      <c r="G5" s="91"/>
      <c r="H5" s="91"/>
      <c r="I5" s="91"/>
    </row>
    <row r="6" spans="2:9" x14ac:dyDescent="0.3">
      <c r="B6" s="89"/>
      <c r="C6" s="89"/>
      <c r="D6" s="91"/>
      <c r="E6" s="91"/>
      <c r="F6" s="91"/>
      <c r="G6" s="91"/>
      <c r="H6" s="91"/>
      <c r="I6" s="91"/>
    </row>
    <row r="7" spans="2:9" ht="15" customHeight="1" x14ac:dyDescent="0.25">
      <c r="B7" s="8"/>
      <c r="C7" s="8"/>
      <c r="D7" s="9"/>
      <c r="E7" s="9"/>
      <c r="F7" s="9"/>
      <c r="G7" s="9"/>
      <c r="H7" s="9"/>
      <c r="I7" s="9"/>
    </row>
    <row r="8" spans="2:9" ht="15" customHeight="1" x14ac:dyDescent="0.3">
      <c r="B8" s="79"/>
      <c r="C8" s="79"/>
      <c r="D8" s="79"/>
      <c r="E8" s="79"/>
      <c r="F8" s="79"/>
      <c r="G8" s="79"/>
      <c r="H8" s="79"/>
      <c r="I8" s="79"/>
    </row>
    <row r="9" spans="2:9" ht="20.3" customHeight="1" x14ac:dyDescent="0.3">
      <c r="B9" s="60" t="s">
        <v>1</v>
      </c>
      <c r="C9" s="61"/>
      <c r="D9" s="61"/>
      <c r="E9" s="61"/>
      <c r="F9" s="61"/>
      <c r="G9" s="61"/>
      <c r="H9" s="61"/>
      <c r="I9" s="62"/>
    </row>
    <row r="10" spans="2:9" s="24" customFormat="1" ht="15.55" customHeight="1" x14ac:dyDescent="0.3">
      <c r="B10" s="81" t="s">
        <v>2</v>
      </c>
      <c r="C10" s="82"/>
      <c r="D10" s="83" t="s">
        <v>82</v>
      </c>
      <c r="E10" s="84"/>
      <c r="F10" s="84"/>
      <c r="G10" s="84"/>
      <c r="H10" s="84"/>
      <c r="I10" s="85"/>
    </row>
    <row r="11" spans="2:9" s="24" customFormat="1" ht="15.55" customHeight="1" x14ac:dyDescent="0.3">
      <c r="B11" s="81" t="s">
        <v>3</v>
      </c>
      <c r="C11" s="82"/>
      <c r="D11" s="86" t="s">
        <v>75</v>
      </c>
      <c r="E11" s="87"/>
      <c r="F11" s="87"/>
      <c r="G11" s="87"/>
      <c r="H11" s="87"/>
      <c r="I11" s="88"/>
    </row>
    <row r="12" spans="2:9" s="24" customFormat="1" ht="15.55" customHeight="1" x14ac:dyDescent="0.3">
      <c r="B12" s="81" t="s">
        <v>4</v>
      </c>
      <c r="C12" s="82"/>
      <c r="D12" s="92" t="s">
        <v>20</v>
      </c>
      <c r="E12" s="93"/>
      <c r="F12" s="93"/>
      <c r="G12" s="93"/>
      <c r="H12" s="93"/>
      <c r="I12" s="94"/>
    </row>
    <row r="13" spans="2:9" ht="31.55" customHeight="1" x14ac:dyDescent="0.3">
      <c r="B13" s="81" t="s">
        <v>5</v>
      </c>
      <c r="C13" s="82"/>
      <c r="D13" s="86" t="s">
        <v>87</v>
      </c>
      <c r="E13" s="87"/>
      <c r="F13" s="87"/>
      <c r="G13" s="87"/>
      <c r="H13" s="87"/>
      <c r="I13" s="88"/>
    </row>
    <row r="14" spans="2:9" ht="13.85" x14ac:dyDescent="0.25">
      <c r="B14" s="2"/>
      <c r="C14" s="2"/>
      <c r="D14" s="2"/>
      <c r="E14" s="2"/>
      <c r="F14" s="2"/>
      <c r="G14" s="2"/>
    </row>
    <row r="15" spans="2:9" ht="13.25" x14ac:dyDescent="0.3">
      <c r="B15" s="95" t="s">
        <v>6</v>
      </c>
      <c r="C15" s="95"/>
      <c r="D15" s="95"/>
      <c r="E15" s="95"/>
      <c r="F15" s="95"/>
      <c r="G15" s="95"/>
      <c r="H15" s="95"/>
      <c r="I15" s="95"/>
    </row>
    <row r="16" spans="2:9" ht="25.5" customHeight="1" x14ac:dyDescent="0.3">
      <c r="B16" s="80" t="s">
        <v>7</v>
      </c>
      <c r="C16" s="80"/>
      <c r="D16" s="80"/>
      <c r="E16" s="80"/>
      <c r="F16" s="80"/>
      <c r="G16" s="80"/>
      <c r="H16" s="80"/>
      <c r="I16" s="80"/>
    </row>
    <row r="17" spans="2:9" ht="14.15" customHeight="1" x14ac:dyDescent="0.3">
      <c r="B17" s="24"/>
      <c r="C17" s="24"/>
      <c r="D17" s="24"/>
      <c r="E17" s="24"/>
      <c r="F17" s="24"/>
      <c r="G17" s="25"/>
      <c r="H17" s="25"/>
      <c r="I17" s="24"/>
    </row>
    <row r="18" spans="2:9" ht="20.45" customHeight="1" x14ac:dyDescent="0.3">
      <c r="B18" s="76" t="s">
        <v>8</v>
      </c>
      <c r="C18" s="77"/>
      <c r="D18" s="77"/>
      <c r="E18" s="77"/>
      <c r="F18" s="77"/>
      <c r="G18" s="77"/>
      <c r="H18" s="77"/>
      <c r="I18" s="78"/>
    </row>
    <row r="19" spans="2:9" ht="24.05" customHeight="1" x14ac:dyDescent="0.3">
      <c r="B19" s="30" t="s">
        <v>9</v>
      </c>
      <c r="C19" s="49" t="s">
        <v>10</v>
      </c>
      <c r="D19" s="50" t="s">
        <v>11</v>
      </c>
      <c r="E19" s="51" t="s">
        <v>12</v>
      </c>
      <c r="F19" s="52" t="s">
        <v>13</v>
      </c>
      <c r="G19" s="50" t="s">
        <v>14</v>
      </c>
      <c r="H19" s="49" t="s">
        <v>15</v>
      </c>
      <c r="I19" s="27" t="s">
        <v>16</v>
      </c>
    </row>
    <row r="20" spans="2:9" ht="35.85" customHeight="1" x14ac:dyDescent="0.3">
      <c r="B20" s="29" t="s">
        <v>17</v>
      </c>
      <c r="C20" s="53" t="s">
        <v>18</v>
      </c>
      <c r="D20" s="54" t="s">
        <v>53</v>
      </c>
      <c r="E20" s="64" t="s">
        <v>80</v>
      </c>
      <c r="F20" s="55" t="s">
        <v>81</v>
      </c>
      <c r="G20" s="3" t="s">
        <v>21</v>
      </c>
      <c r="H20" s="56">
        <v>1</v>
      </c>
      <c r="I20" s="57">
        <v>0.5</v>
      </c>
    </row>
    <row r="21" spans="2:9" ht="57.6" customHeight="1" x14ac:dyDescent="0.3">
      <c r="B21" s="29" t="s">
        <v>24</v>
      </c>
      <c r="C21" s="53" t="s">
        <v>25</v>
      </c>
      <c r="D21" s="53" t="s">
        <v>28</v>
      </c>
      <c r="E21" s="58" t="s">
        <v>86</v>
      </c>
      <c r="F21" s="55" t="s">
        <v>81</v>
      </c>
      <c r="G21" s="3" t="s">
        <v>23</v>
      </c>
      <c r="H21" s="56">
        <v>1</v>
      </c>
      <c r="I21" s="57">
        <v>1</v>
      </c>
    </row>
    <row r="22" spans="2:9" ht="35.299999999999997" customHeight="1" x14ac:dyDescent="0.3">
      <c r="B22" s="65" t="s">
        <v>77</v>
      </c>
      <c r="C22" s="66" t="s">
        <v>30</v>
      </c>
      <c r="D22" s="66" t="s">
        <v>29</v>
      </c>
      <c r="E22" s="67" t="s">
        <v>76</v>
      </c>
      <c r="F22" s="72" t="s">
        <v>81</v>
      </c>
      <c r="G22" s="68" t="s">
        <v>21</v>
      </c>
      <c r="H22" s="69">
        <v>1</v>
      </c>
      <c r="I22" s="71">
        <v>0.5</v>
      </c>
    </row>
    <row r="23" spans="2:9" ht="26.25" customHeight="1" x14ac:dyDescent="0.3">
      <c r="B23" s="5"/>
      <c r="C23" s="53"/>
      <c r="D23" s="53"/>
      <c r="E23" s="58"/>
      <c r="F23" s="58"/>
      <c r="G23" s="3"/>
      <c r="H23" s="56"/>
      <c r="I23" s="70"/>
    </row>
    <row r="24" spans="2:9" ht="27.1" customHeight="1" x14ac:dyDescent="0.3"/>
    <row r="25" spans="2:9" ht="17.3" customHeight="1" x14ac:dyDescent="0.3">
      <c r="B25" s="6" t="s">
        <v>33</v>
      </c>
      <c r="C25" s="7"/>
      <c r="D25" s="10"/>
      <c r="E25" s="46"/>
      <c r="F25" s="4"/>
      <c r="G25" s="4"/>
      <c r="H25" s="4"/>
      <c r="I25" s="4"/>
    </row>
    <row r="26" spans="2:9" ht="14.4" x14ac:dyDescent="0.3">
      <c r="B26" s="73" t="s">
        <v>9</v>
      </c>
      <c r="C26" s="98" t="s">
        <v>11</v>
      </c>
      <c r="D26" s="74" t="s">
        <v>34</v>
      </c>
      <c r="E26"/>
      <c r="F26"/>
      <c r="G26"/>
      <c r="H26"/>
      <c r="I26"/>
    </row>
    <row r="27" spans="2:9" ht="20.75" x14ac:dyDescent="0.3">
      <c r="B27" s="75" t="s">
        <v>17</v>
      </c>
      <c r="C27" s="103" t="s">
        <v>53</v>
      </c>
      <c r="D27" s="99">
        <v>0.5</v>
      </c>
      <c r="E27"/>
      <c r="F27"/>
      <c r="G27"/>
      <c r="H27"/>
      <c r="I27"/>
    </row>
    <row r="28" spans="2:9" ht="14.4" x14ac:dyDescent="0.3">
      <c r="B28" s="75" t="s">
        <v>24</v>
      </c>
      <c r="C28" s="103" t="s">
        <v>28</v>
      </c>
      <c r="D28" s="99">
        <v>1</v>
      </c>
      <c r="E28"/>
      <c r="F28"/>
      <c r="G28"/>
      <c r="H28"/>
      <c r="I28"/>
    </row>
    <row r="29" spans="2:9" ht="21.9" x14ac:dyDescent="0.3">
      <c r="B29" s="75" t="s">
        <v>77</v>
      </c>
      <c r="C29" s="104" t="s">
        <v>29</v>
      </c>
      <c r="D29" s="99">
        <v>0.5</v>
      </c>
      <c r="E29"/>
      <c r="F29"/>
      <c r="G29"/>
      <c r="H29"/>
      <c r="I29"/>
    </row>
    <row r="30" spans="2:9" ht="14.4" x14ac:dyDescent="0.3">
      <c r="B30" s="100" t="s">
        <v>35</v>
      </c>
      <c r="C30" s="101"/>
      <c r="D30" s="102">
        <v>2</v>
      </c>
      <c r="E30"/>
      <c r="F30"/>
      <c r="G30"/>
      <c r="H30"/>
      <c r="I30"/>
    </row>
    <row r="31" spans="2:9" ht="14.4" x14ac:dyDescent="0.3">
      <c r="B31"/>
      <c r="C31"/>
      <c r="D31"/>
      <c r="E31"/>
      <c r="F31"/>
      <c r="G31"/>
      <c r="H31"/>
      <c r="I31"/>
    </row>
    <row r="32" spans="2:9" ht="14.4" x14ac:dyDescent="0.3">
      <c r="B32"/>
      <c r="C32"/>
      <c r="D32"/>
      <c r="E32"/>
      <c r="F32"/>
      <c r="G32"/>
      <c r="H32"/>
      <c r="I32"/>
    </row>
    <row r="33" spans="2:9" ht="14.4" x14ac:dyDescent="0.3">
      <c r="B33"/>
      <c r="C33"/>
      <c r="D33"/>
      <c r="E33"/>
      <c r="F33"/>
      <c r="G33"/>
      <c r="H33"/>
      <c r="I33"/>
    </row>
    <row r="34" spans="2:9" ht="27.1" customHeight="1" x14ac:dyDescent="0.3">
      <c r="B34"/>
      <c r="C34"/>
      <c r="D34"/>
      <c r="E34"/>
      <c r="F34"/>
      <c r="G34"/>
      <c r="H34"/>
      <c r="I34"/>
    </row>
    <row r="35" spans="2:9" ht="47.25" customHeight="1" x14ac:dyDescent="0.3">
      <c r="B35"/>
      <c r="C35"/>
      <c r="D35"/>
      <c r="E35"/>
      <c r="F35"/>
      <c r="G35"/>
      <c r="H35"/>
      <c r="I35"/>
    </row>
    <row r="36" spans="2:9" ht="100.55" customHeight="1" x14ac:dyDescent="0.3">
      <c r="B36"/>
      <c r="C36"/>
      <c r="D36"/>
      <c r="E36"/>
      <c r="F36"/>
      <c r="G36"/>
      <c r="H36"/>
      <c r="I36"/>
    </row>
    <row r="37" spans="2:9" ht="35.299999999999997" customHeight="1" x14ac:dyDescent="0.3">
      <c r="B37"/>
      <c r="C37"/>
      <c r="D37"/>
      <c r="E37"/>
      <c r="F37"/>
      <c r="G37"/>
      <c r="H37"/>
      <c r="I37"/>
    </row>
    <row r="38" spans="2:9" ht="26.25" customHeight="1" x14ac:dyDescent="0.3">
      <c r="B38"/>
      <c r="C38"/>
      <c r="D38"/>
      <c r="E38"/>
      <c r="F38"/>
      <c r="G38"/>
      <c r="H38"/>
      <c r="I38"/>
    </row>
    <row r="39" spans="2:9" ht="27.1" customHeight="1" x14ac:dyDescent="0.3">
      <c r="B39"/>
      <c r="C39"/>
      <c r="D39"/>
      <c r="E39"/>
      <c r="F39"/>
      <c r="G39"/>
      <c r="H39"/>
      <c r="I39"/>
    </row>
    <row r="40" spans="2:9" ht="47.25" customHeight="1" x14ac:dyDescent="0.3">
      <c r="B40"/>
      <c r="C40"/>
      <c r="D40"/>
      <c r="E40"/>
      <c r="F40"/>
      <c r="G40"/>
      <c r="H40"/>
      <c r="I40"/>
    </row>
    <row r="41" spans="2:9" ht="100.55" customHeight="1" x14ac:dyDescent="0.3">
      <c r="B41"/>
      <c r="C41"/>
      <c r="D41"/>
      <c r="E41"/>
      <c r="F41"/>
      <c r="G41"/>
      <c r="H41"/>
      <c r="I41"/>
    </row>
    <row r="42" spans="2:9" ht="35.299999999999997" customHeight="1" x14ac:dyDescent="0.3">
      <c r="B42"/>
      <c r="C42"/>
      <c r="D42"/>
      <c r="E42"/>
      <c r="F42"/>
      <c r="G42"/>
      <c r="H42"/>
      <c r="I42"/>
    </row>
    <row r="43" spans="2:9" ht="32.85" customHeight="1" x14ac:dyDescent="0.3">
      <c r="B43"/>
      <c r="C43"/>
      <c r="D43"/>
      <c r="E43"/>
      <c r="F43"/>
      <c r="G43"/>
      <c r="H43"/>
      <c r="I43"/>
    </row>
    <row r="44" spans="2:9" ht="15.55" customHeight="1" x14ac:dyDescent="0.3">
      <c r="B44"/>
      <c r="C44"/>
      <c r="D44"/>
      <c r="E44"/>
      <c r="F44"/>
      <c r="G44"/>
      <c r="H44"/>
      <c r="I44"/>
    </row>
    <row r="45" spans="2:9" ht="14.4" x14ac:dyDescent="0.3">
      <c r="B45"/>
      <c r="C45"/>
      <c r="D45"/>
      <c r="E45"/>
      <c r="F45"/>
      <c r="G45"/>
      <c r="H45"/>
      <c r="I45"/>
    </row>
    <row r="46" spans="2:9" ht="14.4" x14ac:dyDescent="0.3">
      <c r="B46"/>
      <c r="C46"/>
      <c r="D46"/>
      <c r="E46"/>
      <c r="F46"/>
      <c r="G46"/>
      <c r="H46"/>
      <c r="I46"/>
    </row>
    <row r="47" spans="2:9" ht="14.4" x14ac:dyDescent="0.3">
      <c r="B47"/>
      <c r="C47"/>
      <c r="D47"/>
      <c r="E47"/>
      <c r="F47"/>
      <c r="G47"/>
      <c r="H47"/>
      <c r="I47"/>
    </row>
    <row r="48" spans="2:9" ht="14.4" x14ac:dyDescent="0.3">
      <c r="B48"/>
      <c r="C48"/>
      <c r="D48"/>
      <c r="E48"/>
      <c r="F48"/>
      <c r="G48"/>
      <c r="H48"/>
      <c r="I48"/>
    </row>
    <row r="49" spans="2:9" ht="14.4" x14ac:dyDescent="0.3">
      <c r="B49"/>
      <c r="C49"/>
      <c r="D49"/>
      <c r="E49"/>
      <c r="F49"/>
      <c r="G49"/>
      <c r="H49"/>
      <c r="I49"/>
    </row>
    <row r="50" spans="2:9" ht="14.4" x14ac:dyDescent="0.3">
      <c r="B50"/>
      <c r="C50"/>
      <c r="D50"/>
      <c r="E50"/>
      <c r="F50"/>
      <c r="G50"/>
      <c r="H50"/>
      <c r="I50"/>
    </row>
    <row r="51" spans="2:9" ht="14.4" x14ac:dyDescent="0.3">
      <c r="B51"/>
      <c r="C51"/>
      <c r="D51"/>
      <c r="E51"/>
      <c r="F51"/>
      <c r="G51"/>
      <c r="H51"/>
      <c r="I51"/>
    </row>
    <row r="52" spans="2:9" ht="14.4" x14ac:dyDescent="0.3">
      <c r="B52"/>
      <c r="C52"/>
      <c r="D52"/>
      <c r="E52"/>
      <c r="F52"/>
      <c r="G52"/>
      <c r="H52"/>
      <c r="I52"/>
    </row>
    <row r="53" spans="2:9" ht="14.4" x14ac:dyDescent="0.3">
      <c r="B53"/>
      <c r="C53"/>
      <c r="D53"/>
      <c r="E53"/>
      <c r="F53"/>
      <c r="G53"/>
      <c r="H53"/>
      <c r="I53"/>
    </row>
    <row r="54" spans="2:9" ht="14.4" x14ac:dyDescent="0.3">
      <c r="B54"/>
      <c r="C54"/>
      <c r="D54"/>
      <c r="E54"/>
      <c r="F54"/>
      <c r="G54"/>
      <c r="H54"/>
      <c r="I54"/>
    </row>
    <row r="55" spans="2:9" ht="14.4" x14ac:dyDescent="0.3">
      <c r="B55"/>
      <c r="C55"/>
      <c r="D55"/>
      <c r="E55"/>
      <c r="F55"/>
      <c r="G55"/>
      <c r="H55"/>
      <c r="I55"/>
    </row>
    <row r="56" spans="2:9" ht="14.4" x14ac:dyDescent="0.3">
      <c r="B56"/>
      <c r="C56"/>
      <c r="D56"/>
      <c r="E56"/>
      <c r="F56"/>
      <c r="G56"/>
      <c r="H56"/>
      <c r="I56"/>
    </row>
    <row r="57" spans="2:9" ht="14.4" x14ac:dyDescent="0.3">
      <c r="B57"/>
      <c r="C57"/>
      <c r="D57"/>
      <c r="E57"/>
      <c r="F57"/>
      <c r="G57"/>
      <c r="H57"/>
      <c r="I57"/>
    </row>
    <row r="58" spans="2:9" ht="14.4" x14ac:dyDescent="0.3">
      <c r="B58"/>
      <c r="C58"/>
      <c r="D58"/>
      <c r="E58"/>
      <c r="F58"/>
      <c r="G58"/>
      <c r="H58"/>
      <c r="I58"/>
    </row>
    <row r="59" spans="2:9" ht="14.4" x14ac:dyDescent="0.3">
      <c r="B59"/>
      <c r="C59"/>
      <c r="D59"/>
      <c r="E59"/>
      <c r="F59"/>
      <c r="G59"/>
      <c r="H59"/>
      <c r="I59"/>
    </row>
    <row r="60" spans="2:9" ht="14.4" x14ac:dyDescent="0.3">
      <c r="B60"/>
      <c r="C60"/>
      <c r="D60"/>
      <c r="E60"/>
      <c r="F60"/>
      <c r="G60"/>
      <c r="H60"/>
      <c r="I60"/>
    </row>
    <row r="61" spans="2:9" ht="14.4" x14ac:dyDescent="0.3">
      <c r="B61"/>
      <c r="C61"/>
      <c r="D61"/>
      <c r="E61"/>
      <c r="F61"/>
      <c r="G61"/>
      <c r="H61"/>
      <c r="I61"/>
    </row>
    <row r="62" spans="2:9" ht="14.4" x14ac:dyDescent="0.3">
      <c r="B62"/>
      <c r="C62"/>
      <c r="D62"/>
      <c r="E62"/>
      <c r="F62"/>
      <c r="G62"/>
      <c r="H62"/>
      <c r="I62"/>
    </row>
    <row r="63" spans="2:9" ht="14.4" x14ac:dyDescent="0.3">
      <c r="B63"/>
      <c r="C63"/>
      <c r="D63"/>
      <c r="E63"/>
      <c r="F63"/>
      <c r="G63"/>
      <c r="H63"/>
      <c r="I63"/>
    </row>
    <row r="64" spans="2:9" ht="14.4" x14ac:dyDescent="0.3">
      <c r="B64"/>
      <c r="C64"/>
      <c r="D64"/>
      <c r="E64"/>
      <c r="F64"/>
      <c r="G64"/>
      <c r="H64"/>
      <c r="I64"/>
    </row>
    <row r="65" spans="2:9" ht="14.4" x14ac:dyDescent="0.3">
      <c r="B65"/>
      <c r="C65"/>
      <c r="D65"/>
      <c r="E65"/>
      <c r="F65"/>
      <c r="G65"/>
      <c r="H65"/>
      <c r="I65"/>
    </row>
    <row r="66" spans="2:9" ht="14.4" x14ac:dyDescent="0.3">
      <c r="B66"/>
      <c r="C66"/>
      <c r="D66"/>
      <c r="E66"/>
      <c r="F66"/>
      <c r="G66"/>
      <c r="H66"/>
      <c r="I66"/>
    </row>
    <row r="67" spans="2:9" ht="14.4" x14ac:dyDescent="0.3">
      <c r="B67"/>
      <c r="C67"/>
      <c r="D67"/>
      <c r="E67"/>
      <c r="F67"/>
      <c r="G67"/>
      <c r="H67"/>
      <c r="I67"/>
    </row>
    <row r="68" spans="2:9" ht="14.4" x14ac:dyDescent="0.3">
      <c r="B68"/>
      <c r="C68"/>
      <c r="D68"/>
      <c r="E68"/>
      <c r="F68"/>
      <c r="G68"/>
      <c r="H68"/>
      <c r="I68"/>
    </row>
    <row r="69" spans="2:9" ht="14.4" x14ac:dyDescent="0.3">
      <c r="B69"/>
      <c r="C69"/>
      <c r="D69"/>
      <c r="E69"/>
      <c r="F69"/>
      <c r="G69"/>
      <c r="H69"/>
      <c r="I69"/>
    </row>
    <row r="70" spans="2:9" ht="14.4" x14ac:dyDescent="0.3">
      <c r="B70"/>
      <c r="C70"/>
      <c r="D70"/>
      <c r="E70"/>
      <c r="F70"/>
      <c r="G70"/>
      <c r="H70"/>
      <c r="I70"/>
    </row>
    <row r="71" spans="2:9" ht="14.4" x14ac:dyDescent="0.3">
      <c r="B71"/>
      <c r="C71"/>
      <c r="D71"/>
      <c r="E71"/>
      <c r="F71"/>
      <c r="G71"/>
      <c r="H71"/>
      <c r="I71"/>
    </row>
    <row r="72" spans="2:9" ht="14.4" x14ac:dyDescent="0.3">
      <c r="B72"/>
      <c r="C72"/>
      <c r="D72"/>
      <c r="E72"/>
      <c r="F72"/>
      <c r="G72"/>
      <c r="H72"/>
      <c r="I72"/>
    </row>
    <row r="73" spans="2:9" ht="14.4" x14ac:dyDescent="0.3">
      <c r="B73"/>
      <c r="C73"/>
      <c r="D73"/>
      <c r="E73"/>
      <c r="F73"/>
      <c r="G73"/>
      <c r="H73"/>
      <c r="I73"/>
    </row>
    <row r="74" spans="2:9" ht="14.4" x14ac:dyDescent="0.3">
      <c r="B74"/>
      <c r="C74"/>
      <c r="D74"/>
      <c r="E74"/>
      <c r="F74"/>
      <c r="G74"/>
      <c r="H74"/>
      <c r="I74"/>
    </row>
    <row r="75" spans="2:9" ht="14.4" x14ac:dyDescent="0.3">
      <c r="B75"/>
      <c r="C75"/>
      <c r="D75"/>
      <c r="E75"/>
      <c r="F75"/>
      <c r="G75"/>
      <c r="H75"/>
      <c r="I75"/>
    </row>
    <row r="76" spans="2:9" ht="14.4" x14ac:dyDescent="0.3">
      <c r="B76"/>
      <c r="C76"/>
      <c r="D76"/>
      <c r="E76"/>
      <c r="F76"/>
      <c r="G76"/>
      <c r="H76"/>
      <c r="I76"/>
    </row>
    <row r="77" spans="2:9" ht="14.4" x14ac:dyDescent="0.3">
      <c r="B77"/>
      <c r="C77"/>
      <c r="D77"/>
      <c r="E77"/>
      <c r="F77"/>
      <c r="G77"/>
      <c r="H77"/>
      <c r="I77"/>
    </row>
    <row r="78" spans="2:9" ht="14.4" x14ac:dyDescent="0.3">
      <c r="B78"/>
      <c r="C78"/>
      <c r="D78"/>
      <c r="E78"/>
      <c r="F78"/>
      <c r="G78"/>
      <c r="H78"/>
      <c r="I78"/>
    </row>
    <row r="79" spans="2:9" ht="14.4" x14ac:dyDescent="0.3">
      <c r="B79"/>
      <c r="C79"/>
      <c r="D79"/>
      <c r="E79"/>
      <c r="F79"/>
      <c r="G79"/>
      <c r="H79"/>
      <c r="I79"/>
    </row>
    <row r="80" spans="2:9" ht="14.4" x14ac:dyDescent="0.3">
      <c r="B80"/>
      <c r="C80"/>
      <c r="D80"/>
      <c r="E80"/>
      <c r="F80"/>
      <c r="G80"/>
      <c r="H80"/>
      <c r="I80"/>
    </row>
    <row r="81" spans="2:9" ht="14.4" x14ac:dyDescent="0.3">
      <c r="B81"/>
      <c r="C81"/>
      <c r="D81"/>
      <c r="E81"/>
      <c r="F81"/>
      <c r="G81"/>
      <c r="H81"/>
      <c r="I81"/>
    </row>
    <row r="82" spans="2:9" ht="14.4" x14ac:dyDescent="0.3">
      <c r="B82"/>
      <c r="C82"/>
      <c r="D82"/>
      <c r="E82"/>
      <c r="F82"/>
      <c r="G82"/>
      <c r="H82"/>
      <c r="I82"/>
    </row>
    <row r="83" spans="2:9" ht="14.4" x14ac:dyDescent="0.3">
      <c r="B83"/>
      <c r="C83"/>
      <c r="D83"/>
      <c r="E83"/>
      <c r="F83"/>
      <c r="G83"/>
      <c r="H83"/>
      <c r="I83"/>
    </row>
    <row r="84" spans="2:9" ht="14.4" x14ac:dyDescent="0.3">
      <c r="B84"/>
      <c r="C84"/>
      <c r="D84"/>
      <c r="E84"/>
      <c r="F84"/>
      <c r="G84"/>
      <c r="H84"/>
      <c r="I84"/>
    </row>
    <row r="85" spans="2:9" ht="14.4" x14ac:dyDescent="0.3">
      <c r="B85"/>
      <c r="C85"/>
      <c r="D85"/>
      <c r="E85"/>
      <c r="F85"/>
      <c r="G85"/>
      <c r="H85"/>
      <c r="I85"/>
    </row>
  </sheetData>
  <mergeCells count="15">
    <mergeCell ref="B1:C6"/>
    <mergeCell ref="D1:I3"/>
    <mergeCell ref="D4:I6"/>
    <mergeCell ref="D12:I12"/>
    <mergeCell ref="B15:I15"/>
    <mergeCell ref="B13:C13"/>
    <mergeCell ref="D13:I13"/>
    <mergeCell ref="B18:I18"/>
    <mergeCell ref="B8:I8"/>
    <mergeCell ref="B16:I16"/>
    <mergeCell ref="B10:C10"/>
    <mergeCell ref="B11:C11"/>
    <mergeCell ref="B12:C12"/>
    <mergeCell ref="D10:I10"/>
    <mergeCell ref="D11:I11"/>
  </mergeCells>
  <phoneticPr fontId="3" type="noConversion"/>
  <dataValidations count="5">
    <dataValidation type="list" allowBlank="1" showInputMessage="1" showErrorMessage="1" sqref="G20:G23" xr:uid="{55B76550-AF88-4A16-B076-317530E4D079}">
      <formula1>"Cab,Tech,Ing-1,Ing-2,Ing-3"</formula1>
    </dataValidation>
    <dataValidation type="whole" allowBlank="1" showInputMessage="1" showErrorMessage="1" sqref="H20:H23" xr:uid="{52F41353-731E-4E2F-A665-384C4CA9A65A}">
      <formula1>1</formula1>
      <formula2>100</formula2>
    </dataValidation>
    <dataValidation type="list" allowBlank="1" showInputMessage="1" showErrorMessage="1" sqref="C20:C23" xr:uid="{314E7CE1-EABC-424E-AF9F-9936DEC8AE20}">
      <formula1>INDIRECT("Tableau5")</formula1>
    </dataValidation>
    <dataValidation type="list" allowBlank="1" showInputMessage="1" showErrorMessage="1" sqref="B20:B23" xr:uid="{D7F2F755-2DC7-4215-A08F-A0F9D01CB6C8}">
      <formula1>"Phase 1,Phase 2,Phase 3"</formula1>
    </dataValidation>
    <dataValidation type="list" allowBlank="1" showInputMessage="1" showErrorMessage="1" sqref="D20:D23" xr:uid="{2F462506-A820-43CB-854A-A02EBABF2C37}">
      <formula1>INDIRECT($C20)</formula1>
    </dataValidation>
  </dataValidations>
  <pageMargins left="0.23622047244094491" right="0.23622047244094491" top="0.35433070866141736" bottom="0.35433070866141736" header="0.31496062992125984" footer="0.31496062992125984"/>
  <pageSetup paperSize="9" scale="78" fitToHeight="0" orientation="portrait" r:id="rId2"/>
  <headerFooter>
    <oddFooter>&amp;C&amp;"Arial,Gras"&amp;10&amp;KA41D66Company Confidential – Client / Vendor Information NextHope ©</oddFooter>
  </headerFooter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F3463-DEE4-435A-9C34-22E4AC6B8EB2}">
  <sheetPr codeName="Feuil1">
    <pageSetUpPr fitToPage="1"/>
  </sheetPr>
  <dimension ref="B1:DH19"/>
  <sheetViews>
    <sheetView showGridLines="0" zoomScaleNormal="100" zoomScaleSheetLayoutView="100" workbookViewId="0">
      <selection activeCell="D27" sqref="D27"/>
    </sheetView>
  </sheetViews>
  <sheetFormatPr baseColWidth="10" defaultColWidth="10.8984375" defaultRowHeight="10.4" x14ac:dyDescent="0.3"/>
  <cols>
    <col min="1" max="1" width="2.296875" style="1" customWidth="1"/>
    <col min="2" max="2" width="56.09765625" style="1" customWidth="1"/>
    <col min="3" max="3" width="13.69921875" style="1" bestFit="1" customWidth="1"/>
    <col min="4" max="4" width="8.8984375" style="5" bestFit="1" customWidth="1"/>
    <col min="5" max="5" width="8.09765625" style="5" bestFit="1" customWidth="1"/>
    <col min="6" max="6" width="8.69921875" style="5" bestFit="1" customWidth="1"/>
    <col min="7" max="35" width="3.3984375" style="5" customWidth="1"/>
    <col min="36" max="112" width="3.3984375" style="1" customWidth="1"/>
    <col min="113" max="16384" width="10.8984375" style="1"/>
  </cols>
  <sheetData>
    <row r="1" spans="2:112" ht="33.700000000000003" customHeight="1" x14ac:dyDescent="0.3">
      <c r="B1" s="97" t="str">
        <f>SoW!D4</f>
        <v>Remplacement du routeur au site UNIMA Mahajamba</v>
      </c>
      <c r="C1" s="97"/>
      <c r="D1" s="97"/>
      <c r="E1" s="40"/>
    </row>
    <row r="2" spans="2:112" ht="9.9499999999999993" customHeight="1" x14ac:dyDescent="0.3">
      <c r="B2" s="97"/>
      <c r="C2" s="97"/>
      <c r="D2" s="97"/>
      <c r="E2" s="40"/>
    </row>
    <row r="3" spans="2:112" ht="9.9499999999999993" customHeight="1" x14ac:dyDescent="0.3">
      <c r="B3" s="39"/>
      <c r="C3" s="39"/>
      <c r="D3" s="39"/>
      <c r="E3" s="40"/>
    </row>
    <row r="4" spans="2:112" ht="15.55" x14ac:dyDescent="0.3">
      <c r="B4" s="96" t="s">
        <v>36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</row>
    <row r="5" spans="2:112" ht="15.55" x14ac:dyDescent="0.3"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  <c r="CL5" s="59"/>
      <c r="CM5" s="59"/>
      <c r="CN5" s="59"/>
      <c r="CO5" s="59"/>
      <c r="CP5" s="59"/>
      <c r="CQ5" s="59"/>
      <c r="CR5" s="59"/>
      <c r="CS5" s="59"/>
      <c r="CT5" s="59"/>
      <c r="CU5" s="59"/>
      <c r="CV5" s="59"/>
      <c r="CW5" s="59"/>
      <c r="CX5" s="59"/>
      <c r="CY5" s="59"/>
      <c r="CZ5" s="59"/>
      <c r="DA5" s="59"/>
      <c r="DB5" s="59"/>
      <c r="DC5" s="59"/>
      <c r="DD5" s="59"/>
      <c r="DE5" s="59"/>
      <c r="DF5" s="59"/>
      <c r="DG5" s="59"/>
      <c r="DH5" s="59"/>
    </row>
    <row r="6" spans="2:112" ht="17.3" customHeight="1" x14ac:dyDescent="0.3">
      <c r="D6" s="1"/>
      <c r="E6" s="1"/>
    </row>
    <row r="7" spans="2:112" ht="13" customHeight="1" x14ac:dyDescent="0.3">
      <c r="B7" s="44" t="s">
        <v>37</v>
      </c>
      <c r="C7" s="45">
        <v>0</v>
      </c>
      <c r="D7" s="3"/>
      <c r="E7" s="3"/>
      <c r="F7" s="16"/>
    </row>
    <row r="8" spans="2:112" x14ac:dyDescent="0.3">
      <c r="B8" s="11" t="s">
        <v>38</v>
      </c>
      <c r="C8" s="41">
        <f>DATE(2025, 10, 20)</f>
        <v>45950</v>
      </c>
      <c r="D8" s="3"/>
      <c r="E8" s="3"/>
      <c r="F8" s="16"/>
      <c r="H8" s="42" t="str">
        <f>IF($C$10="Jour",IF($C$11="Non",_xlfn.CONCAT("M",MONTH(H11)),PROPER(TEXT(H11,"mmm"))),"")</f>
        <v>Oct</v>
      </c>
      <c r="I8" s="42" t="str">
        <f>IF($C$10="Jour",IF($C$11="Non",IF(MONTH(I11)=MONTH(H11),"",_xlfn.CONCAT("M",MONTH(I11))),IF(MONTH(I11)=MONTH(H11),"",PROPER(TEXT(I11,"mmm")))),"")</f>
        <v/>
      </c>
      <c r="J8" s="42" t="str">
        <f t="shared" ref="J8:AL8" si="0">IF($C$10="Jour",IF($C$11="Non",IF(MONTH(J11)=MONTH(I11),"",_xlfn.CONCAT("M",MONTH(J11))),IF(MONTH(J11)=MONTH(I11),"",PROPER(TEXT(J11,"mmm")))),"")</f>
        <v/>
      </c>
      <c r="K8" s="42" t="str">
        <f t="shared" si="0"/>
        <v/>
      </c>
      <c r="L8" s="42" t="str">
        <f t="shared" si="0"/>
        <v/>
      </c>
      <c r="M8" s="42" t="str">
        <f t="shared" si="0"/>
        <v/>
      </c>
      <c r="N8" s="42" t="str">
        <f t="shared" si="0"/>
        <v/>
      </c>
      <c r="O8" s="42" t="str">
        <f t="shared" si="0"/>
        <v/>
      </c>
      <c r="P8" s="42" t="str">
        <f t="shared" si="0"/>
        <v/>
      </c>
      <c r="Q8" s="42" t="str">
        <f t="shared" si="0"/>
        <v/>
      </c>
      <c r="R8" s="42" t="str">
        <f t="shared" si="0"/>
        <v/>
      </c>
      <c r="S8" s="42" t="str">
        <f t="shared" si="0"/>
        <v/>
      </c>
      <c r="T8" s="42" t="str">
        <f t="shared" si="0"/>
        <v>Nov</v>
      </c>
      <c r="U8" s="42" t="str">
        <f t="shared" si="0"/>
        <v/>
      </c>
      <c r="V8" s="42" t="str">
        <f t="shared" si="0"/>
        <v/>
      </c>
      <c r="W8" s="42" t="str">
        <f t="shared" si="0"/>
        <v/>
      </c>
      <c r="X8" s="42" t="str">
        <f t="shared" si="0"/>
        <v/>
      </c>
      <c r="Y8" s="42" t="str">
        <f t="shared" si="0"/>
        <v/>
      </c>
      <c r="Z8" s="42" t="str">
        <f t="shared" si="0"/>
        <v/>
      </c>
      <c r="AA8" s="42" t="str">
        <f t="shared" si="0"/>
        <v/>
      </c>
      <c r="AB8" s="42" t="str">
        <f t="shared" si="0"/>
        <v/>
      </c>
      <c r="AC8" s="42" t="str">
        <f t="shared" si="0"/>
        <v/>
      </c>
      <c r="AD8" s="42" t="str">
        <f t="shared" si="0"/>
        <v/>
      </c>
      <c r="AE8" s="42" t="str">
        <f t="shared" si="0"/>
        <v/>
      </c>
      <c r="AF8" s="42" t="str">
        <f t="shared" si="0"/>
        <v/>
      </c>
      <c r="AG8" s="42" t="str">
        <f t="shared" si="0"/>
        <v/>
      </c>
      <c r="AH8" s="42" t="str">
        <f t="shared" si="0"/>
        <v/>
      </c>
      <c r="AI8" s="42" t="str">
        <f t="shared" si="0"/>
        <v/>
      </c>
      <c r="AJ8" s="42" t="str">
        <f t="shared" si="0"/>
        <v/>
      </c>
      <c r="AK8" s="42" t="str">
        <f t="shared" si="0"/>
        <v/>
      </c>
      <c r="AL8" s="42" t="str">
        <f t="shared" si="0"/>
        <v/>
      </c>
      <c r="AM8" s="42" t="str">
        <f t="shared" ref="AM8" si="1">IF($C$10="Jour",IF($C$11="Non",IF(MONTH(AM11)=MONTH(AL11),"",_xlfn.CONCAT("M",MONTH(AM11))),IF(MONTH(AM11)=MONTH(AL11),"",PROPER(TEXT(AM11,"mmm")))),"")</f>
        <v/>
      </c>
      <c r="AN8" s="42" t="str">
        <f t="shared" ref="AN8" si="2">IF($C$10="Jour",IF($C$11="Non",IF(MONTH(AN11)=MONTH(AM11),"",_xlfn.CONCAT("M",MONTH(AN11))),IF(MONTH(AN11)=MONTH(AM11),"",PROPER(TEXT(AN11,"mmm")))),"")</f>
        <v/>
      </c>
      <c r="AO8" s="42" t="str">
        <f t="shared" ref="AO8" si="3">IF($C$10="Jour",IF($C$11="Non",IF(MONTH(AO11)=MONTH(AN11),"",_xlfn.CONCAT("M",MONTH(AO11))),IF(MONTH(AO11)=MONTH(AN11),"",PROPER(TEXT(AO11,"mmm")))),"")</f>
        <v/>
      </c>
      <c r="AP8" s="42" t="str">
        <f t="shared" ref="AP8" si="4">IF($C$10="Jour",IF($C$11="Non",IF(MONTH(AP11)=MONTH(AO11),"",_xlfn.CONCAT("M",MONTH(AP11))),IF(MONTH(AP11)=MONTH(AO11),"",PROPER(TEXT(AP11,"mmm")))),"")</f>
        <v/>
      </c>
      <c r="AQ8" s="42" t="str">
        <f t="shared" ref="AQ8" si="5">IF($C$10="Jour",IF($C$11="Non",IF(MONTH(AQ11)=MONTH(AP11),"",_xlfn.CONCAT("M",MONTH(AQ11))),IF(MONTH(AQ11)=MONTH(AP11),"",PROPER(TEXT(AQ11,"mmm")))),"")</f>
        <v/>
      </c>
      <c r="AR8" s="42" t="str">
        <f t="shared" ref="AR8" si="6">IF($C$10="Jour",IF($C$11="Non",IF(MONTH(AR11)=MONTH(AQ11),"",_xlfn.CONCAT("M",MONTH(AR11))),IF(MONTH(AR11)=MONTH(AQ11),"",PROPER(TEXT(AR11,"mmm")))),"")</f>
        <v/>
      </c>
      <c r="AS8" s="42" t="str">
        <f t="shared" ref="AS8" si="7">IF($C$10="Jour",IF($C$11="Non",IF(MONTH(AS11)=MONTH(AR11),"",_xlfn.CONCAT("M",MONTH(AS11))),IF(MONTH(AS11)=MONTH(AR11),"",PROPER(TEXT(AS11,"mmm")))),"")</f>
        <v/>
      </c>
      <c r="AT8" s="42" t="str">
        <f t="shared" ref="AT8" si="8">IF($C$10="Jour",IF($C$11="Non",IF(MONTH(AT11)=MONTH(AS11),"",_xlfn.CONCAT("M",MONTH(AT11))),IF(MONTH(AT11)=MONTH(AS11),"",PROPER(TEXT(AT11,"mmm")))),"")</f>
        <v/>
      </c>
      <c r="AU8" s="42" t="str">
        <f t="shared" ref="AU8" si="9">IF($C$10="Jour",IF($C$11="Non",IF(MONTH(AU11)=MONTH(AT11),"",_xlfn.CONCAT("M",MONTH(AU11))),IF(MONTH(AU11)=MONTH(AT11),"",PROPER(TEXT(AU11,"mmm")))),"")</f>
        <v/>
      </c>
      <c r="AV8" s="42" t="str">
        <f t="shared" ref="AV8" si="10">IF($C$10="Jour",IF($C$11="Non",IF(MONTH(AV11)=MONTH(AU11),"",_xlfn.CONCAT("M",MONTH(AV11))),IF(MONTH(AV11)=MONTH(AU11),"",PROPER(TEXT(AV11,"mmm")))),"")</f>
        <v/>
      </c>
      <c r="AW8" s="42" t="str">
        <f t="shared" ref="AW8" si="11">IF($C$10="Jour",IF($C$11="Non",IF(MONTH(AW11)=MONTH(AV11),"",_xlfn.CONCAT("M",MONTH(AW11))),IF(MONTH(AW11)=MONTH(AV11),"",PROPER(TEXT(AW11,"mmm")))),"")</f>
        <v/>
      </c>
      <c r="AX8" s="42" t="str">
        <f t="shared" ref="AX8" si="12">IF($C$10="Jour",IF($C$11="Non",IF(MONTH(AX11)=MONTH(AW11),"",_xlfn.CONCAT("M",MONTH(AX11))),IF(MONTH(AX11)=MONTH(AW11),"",PROPER(TEXT(AX11,"mmm")))),"")</f>
        <v>Déc</v>
      </c>
      <c r="AY8" s="42" t="str">
        <f t="shared" ref="AY8" si="13">IF($C$10="Jour",IF($C$11="Non",IF(MONTH(AY11)=MONTH(AX11),"",_xlfn.CONCAT("M",MONTH(AY11))),IF(MONTH(AY11)=MONTH(AX11),"",PROPER(TEXT(AY11,"mmm")))),"")</f>
        <v/>
      </c>
      <c r="AZ8" s="42" t="str">
        <f t="shared" ref="AZ8" si="14">IF($C$10="Jour",IF($C$11="Non",IF(MONTH(AZ11)=MONTH(AY11),"",_xlfn.CONCAT("M",MONTH(AZ11))),IF(MONTH(AZ11)=MONTH(AY11),"",PROPER(TEXT(AZ11,"mmm")))),"")</f>
        <v/>
      </c>
      <c r="BA8" s="42" t="str">
        <f t="shared" ref="BA8" si="15">IF($C$10="Jour",IF($C$11="Non",IF(MONTH(BA11)=MONTH(AZ11),"",_xlfn.CONCAT("M",MONTH(BA11))),IF(MONTH(BA11)=MONTH(AZ11),"",PROPER(TEXT(BA11,"mmm")))),"")</f>
        <v/>
      </c>
      <c r="BB8" s="42" t="str">
        <f t="shared" ref="BB8" si="16">IF($C$10="Jour",IF($C$11="Non",IF(MONTH(BB11)=MONTH(BA11),"",_xlfn.CONCAT("M",MONTH(BB11))),IF(MONTH(BB11)=MONTH(BA11),"",PROPER(TEXT(BB11,"mmm")))),"")</f>
        <v/>
      </c>
      <c r="BC8" s="42" t="str">
        <f t="shared" ref="BC8" si="17">IF($C$10="Jour",IF($C$11="Non",IF(MONTH(BC11)=MONTH(BB11),"",_xlfn.CONCAT("M",MONTH(BC11))),IF(MONTH(BC11)=MONTH(BB11),"",PROPER(TEXT(BC11,"mmm")))),"")</f>
        <v/>
      </c>
      <c r="BD8" s="42" t="str">
        <f t="shared" ref="BD8" si="18">IF($C$10="Jour",IF($C$11="Non",IF(MONTH(BD11)=MONTH(BC11),"",_xlfn.CONCAT("M",MONTH(BD11))),IF(MONTH(BD11)=MONTH(BC11),"",PROPER(TEXT(BD11,"mmm")))),"")</f>
        <v/>
      </c>
      <c r="BE8" s="42" t="str">
        <f t="shared" ref="BE8" si="19">IF($C$10="Jour",IF($C$11="Non",IF(MONTH(BE11)=MONTH(BD11),"",_xlfn.CONCAT("M",MONTH(BE11))),IF(MONTH(BE11)=MONTH(BD11),"",PROPER(TEXT(BE11,"mmm")))),"")</f>
        <v/>
      </c>
      <c r="BF8" s="42" t="str">
        <f t="shared" ref="BF8" si="20">IF($C$10="Jour",IF($C$11="Non",IF(MONTH(BF11)=MONTH(BE11),"",_xlfn.CONCAT("M",MONTH(BF11))),IF(MONTH(BF11)=MONTH(BE11),"",PROPER(TEXT(BF11,"mmm")))),"")</f>
        <v/>
      </c>
      <c r="BG8" s="42" t="str">
        <f t="shared" ref="BG8" si="21">IF($C$10="Jour",IF($C$11="Non",IF(MONTH(BG11)=MONTH(BF11),"",_xlfn.CONCAT("M",MONTH(BG11))),IF(MONTH(BG11)=MONTH(BF11),"",PROPER(TEXT(BG11,"mmm")))),"")</f>
        <v/>
      </c>
      <c r="BH8" s="42" t="str">
        <f t="shared" ref="BH8" si="22">IF($C$10="Jour",IF($C$11="Non",IF(MONTH(BH11)=MONTH(BG11),"",_xlfn.CONCAT("M",MONTH(BH11))),IF(MONTH(BH11)=MONTH(BG11),"",PROPER(TEXT(BH11,"mmm")))),"")</f>
        <v/>
      </c>
      <c r="BI8" s="42" t="str">
        <f t="shared" ref="BI8" si="23">IF($C$10="Jour",IF($C$11="Non",IF(MONTH(BI11)=MONTH(BH11),"",_xlfn.CONCAT("M",MONTH(BI11))),IF(MONTH(BI11)=MONTH(BH11),"",PROPER(TEXT(BI11,"mmm")))),"")</f>
        <v/>
      </c>
      <c r="BJ8" s="42" t="str">
        <f t="shared" ref="BJ8" si="24">IF($C$10="Jour",IF($C$11="Non",IF(MONTH(BJ11)=MONTH(BI11),"",_xlfn.CONCAT("M",MONTH(BJ11))),IF(MONTH(BJ11)=MONTH(BI11),"",PROPER(TEXT(BJ11,"mmm")))),"")</f>
        <v/>
      </c>
      <c r="BK8" s="42" t="str">
        <f t="shared" ref="BK8" si="25">IF($C$10="Jour",IF($C$11="Non",IF(MONTH(BK11)=MONTH(BJ11),"",_xlfn.CONCAT("M",MONTH(BK11))),IF(MONTH(BK11)=MONTH(BJ11),"",PROPER(TEXT(BK11,"mmm")))),"")</f>
        <v/>
      </c>
      <c r="BL8" s="42" t="str">
        <f t="shared" ref="BL8" si="26">IF($C$10="Jour",IF($C$11="Non",IF(MONTH(BL11)=MONTH(BK11),"",_xlfn.CONCAT("M",MONTH(BL11))),IF(MONTH(BL11)=MONTH(BK11),"",PROPER(TEXT(BL11,"mmm")))),"")</f>
        <v/>
      </c>
      <c r="BM8" s="42" t="str">
        <f t="shared" ref="BM8" si="27">IF($C$10="Jour",IF($C$11="Non",IF(MONTH(BM11)=MONTH(BL11),"",_xlfn.CONCAT("M",MONTH(BM11))),IF(MONTH(BM11)=MONTH(BL11),"",PROPER(TEXT(BM11,"mmm")))),"")</f>
        <v/>
      </c>
      <c r="BN8" s="42" t="str">
        <f t="shared" ref="BN8" si="28">IF($C$10="Jour",IF($C$11="Non",IF(MONTH(BN11)=MONTH(BM11),"",_xlfn.CONCAT("M",MONTH(BN11))),IF(MONTH(BN11)=MONTH(BM11),"",PROPER(TEXT(BN11,"mmm")))),"")</f>
        <v/>
      </c>
      <c r="BO8" s="42" t="str">
        <f t="shared" ref="BO8" si="29">IF($C$10="Jour",IF($C$11="Non",IF(MONTH(BO11)=MONTH(BN11),"",_xlfn.CONCAT("M",MONTH(BO11))),IF(MONTH(BO11)=MONTH(BN11),"",PROPER(TEXT(BO11,"mmm")))),"")</f>
        <v/>
      </c>
      <c r="BP8" s="42" t="str">
        <f t="shared" ref="BP8" si="30">IF($C$10="Jour",IF($C$11="Non",IF(MONTH(BP11)=MONTH(BO11),"",_xlfn.CONCAT("M",MONTH(BP11))),IF(MONTH(BP11)=MONTH(BO11),"",PROPER(TEXT(BP11,"mmm")))),"")</f>
        <v/>
      </c>
      <c r="BQ8" s="42" t="str">
        <f t="shared" ref="BQ8" si="31">IF($C$10="Jour",IF($C$11="Non",IF(MONTH(BQ11)=MONTH(BP11),"",_xlfn.CONCAT("M",MONTH(BQ11))),IF(MONTH(BQ11)=MONTH(BP11),"",PROPER(TEXT(BQ11,"mmm")))),"")</f>
        <v/>
      </c>
      <c r="BR8" s="42" t="str">
        <f t="shared" ref="BR8" si="32">IF($C$10="Jour",IF($C$11="Non",IF(MONTH(BR11)=MONTH(BQ11),"",_xlfn.CONCAT("M",MONTH(BR11))),IF(MONTH(BR11)=MONTH(BQ11),"",PROPER(TEXT(BR11,"mmm")))),"")</f>
        <v/>
      </c>
      <c r="BS8" s="42" t="str">
        <f t="shared" ref="BS8" si="33">IF($C$10="Jour",IF($C$11="Non",IF(MONTH(BS11)=MONTH(BR11),"",_xlfn.CONCAT("M",MONTH(BS11))),IF(MONTH(BS11)=MONTH(BR11),"",PROPER(TEXT(BS11,"mmm")))),"")</f>
        <v/>
      </c>
      <c r="BT8" s="42" t="str">
        <f t="shared" ref="BT8" si="34">IF($C$10="Jour",IF($C$11="Non",IF(MONTH(BT11)=MONTH(BS11),"",_xlfn.CONCAT("M",MONTH(BT11))),IF(MONTH(BT11)=MONTH(BS11),"",PROPER(TEXT(BT11,"mmm")))),"")</f>
        <v/>
      </c>
      <c r="BU8" s="42" t="str">
        <f t="shared" ref="BU8" si="35">IF($C$10="Jour",IF($C$11="Non",IF(MONTH(BU11)=MONTH(BT11),"",_xlfn.CONCAT("M",MONTH(BU11))),IF(MONTH(BU11)=MONTH(BT11),"",PROPER(TEXT(BU11,"mmm")))),"")</f>
        <v/>
      </c>
      <c r="BV8" s="42" t="str">
        <f t="shared" ref="BV8" si="36">IF($C$10="Jour",IF($C$11="Non",IF(MONTH(BV11)=MONTH(BU11),"",_xlfn.CONCAT("M",MONTH(BV11))),IF(MONTH(BV11)=MONTH(BU11),"",PROPER(TEXT(BV11,"mmm")))),"")</f>
        <v/>
      </c>
      <c r="BW8" s="42" t="str">
        <f t="shared" ref="BW8" si="37">IF($C$10="Jour",IF($C$11="Non",IF(MONTH(BW11)=MONTH(BV11),"",_xlfn.CONCAT("M",MONTH(BW11))),IF(MONTH(BW11)=MONTH(BV11),"",PROPER(TEXT(BW11,"mmm")))),"")</f>
        <v/>
      </c>
      <c r="BX8" s="42" t="str">
        <f t="shared" ref="BX8" si="38">IF($C$10="Jour",IF($C$11="Non",IF(MONTH(BX11)=MONTH(BW11),"",_xlfn.CONCAT("M",MONTH(BX11))),IF(MONTH(BX11)=MONTH(BW11),"",PROPER(TEXT(BX11,"mmm")))),"")</f>
        <v/>
      </c>
      <c r="BY8" s="42" t="str">
        <f t="shared" ref="BY8" si="39">IF($C$10="Jour",IF($C$11="Non",IF(MONTH(BY11)=MONTH(BX11),"",_xlfn.CONCAT("M",MONTH(BY11))),IF(MONTH(BY11)=MONTH(BX11),"",PROPER(TEXT(BY11,"mmm")))),"")</f>
        <v/>
      </c>
      <c r="BZ8" s="42" t="str">
        <f t="shared" ref="BZ8" si="40">IF($C$10="Jour",IF($C$11="Non",IF(MONTH(BZ11)=MONTH(BY11),"",_xlfn.CONCAT("M",MONTH(BZ11))),IF(MONTH(BZ11)=MONTH(BY11),"",PROPER(TEXT(BZ11,"mmm")))),"")</f>
        <v/>
      </c>
      <c r="CA8" s="42" t="str">
        <f t="shared" ref="CA8" si="41">IF($C$10="Jour",IF($C$11="Non",IF(MONTH(CA11)=MONTH(BZ11),"",_xlfn.CONCAT("M",MONTH(CA11))),IF(MONTH(CA11)=MONTH(BZ11),"",PROPER(TEXT(CA11,"mmm")))),"")</f>
        <v/>
      </c>
      <c r="CB8" s="42" t="str">
        <f t="shared" ref="CB8" si="42">IF($C$10="Jour",IF($C$11="Non",IF(MONTH(CB11)=MONTH(CA11),"",_xlfn.CONCAT("M",MONTH(CB11))),IF(MONTH(CB11)=MONTH(CA11),"",PROPER(TEXT(CB11,"mmm")))),"")</f>
        <v/>
      </c>
      <c r="CC8" s="42" t="str">
        <f t="shared" ref="CC8" si="43">IF($C$10="Jour",IF($C$11="Non",IF(MONTH(CC11)=MONTH(CB11),"",_xlfn.CONCAT("M",MONTH(CC11))),IF(MONTH(CC11)=MONTH(CB11),"",PROPER(TEXT(CC11,"mmm")))),"")</f>
        <v>Janv</v>
      </c>
      <c r="CD8" s="42" t="str">
        <f t="shared" ref="CD8" si="44">IF($C$10="Jour",IF($C$11="Non",IF(MONTH(CD11)=MONTH(CC11),"",_xlfn.CONCAT("M",MONTH(CD11))),IF(MONTH(CD11)=MONTH(CC11),"",PROPER(TEXT(CD11,"mmm")))),"")</f>
        <v/>
      </c>
      <c r="CE8" s="42" t="str">
        <f t="shared" ref="CE8" si="45">IF($C$10="Jour",IF($C$11="Non",IF(MONTH(CE11)=MONTH(CD11),"",_xlfn.CONCAT("M",MONTH(CE11))),IF(MONTH(CE11)=MONTH(CD11),"",PROPER(TEXT(CE11,"mmm")))),"")</f>
        <v/>
      </c>
      <c r="CF8" s="42" t="str">
        <f t="shared" ref="CF8" si="46">IF($C$10="Jour",IF($C$11="Non",IF(MONTH(CF11)=MONTH(CE11),"",_xlfn.CONCAT("M",MONTH(CF11))),IF(MONTH(CF11)=MONTH(CE11),"",PROPER(TEXT(CF11,"mmm")))),"")</f>
        <v/>
      </c>
      <c r="CG8" s="42" t="str">
        <f t="shared" ref="CG8" si="47">IF($C$10="Jour",IF($C$11="Non",IF(MONTH(CG11)=MONTH(CF11),"",_xlfn.CONCAT("M",MONTH(CG11))),IF(MONTH(CG11)=MONTH(CF11),"",PROPER(TEXT(CG11,"mmm")))),"")</f>
        <v/>
      </c>
      <c r="CH8" s="42" t="str">
        <f t="shared" ref="CH8" si="48">IF($C$10="Jour",IF($C$11="Non",IF(MONTH(CH11)=MONTH(CG11),"",_xlfn.CONCAT("M",MONTH(CH11))),IF(MONTH(CH11)=MONTH(CG11),"",PROPER(TEXT(CH11,"mmm")))),"")</f>
        <v/>
      </c>
      <c r="CI8" s="42" t="str">
        <f t="shared" ref="CI8" si="49">IF($C$10="Jour",IF($C$11="Non",IF(MONTH(CI11)=MONTH(CH11),"",_xlfn.CONCAT("M",MONTH(CI11))),IF(MONTH(CI11)=MONTH(CH11),"",PROPER(TEXT(CI11,"mmm")))),"")</f>
        <v/>
      </c>
      <c r="CJ8" s="42" t="str">
        <f t="shared" ref="CJ8" si="50">IF($C$10="Jour",IF($C$11="Non",IF(MONTH(CJ11)=MONTH(CI11),"",_xlfn.CONCAT("M",MONTH(CJ11))),IF(MONTH(CJ11)=MONTH(CI11),"",PROPER(TEXT(CJ11,"mmm")))),"")</f>
        <v/>
      </c>
      <c r="CK8" s="42" t="str">
        <f t="shared" ref="CK8" si="51">IF($C$10="Jour",IF($C$11="Non",IF(MONTH(CK11)=MONTH(CJ11),"",_xlfn.CONCAT("M",MONTH(CK11))),IF(MONTH(CK11)=MONTH(CJ11),"",PROPER(TEXT(CK11,"mmm")))),"")</f>
        <v/>
      </c>
      <c r="CL8" s="42" t="str">
        <f t="shared" ref="CL8" si="52">IF($C$10="Jour",IF($C$11="Non",IF(MONTH(CL11)=MONTH(CK11),"",_xlfn.CONCAT("M",MONTH(CL11))),IF(MONTH(CL11)=MONTH(CK11),"",PROPER(TEXT(CL11,"mmm")))),"")</f>
        <v/>
      </c>
      <c r="CM8" s="42" t="str">
        <f t="shared" ref="CM8" si="53">IF($C$10="Jour",IF($C$11="Non",IF(MONTH(CM11)=MONTH(CL11),"",_xlfn.CONCAT("M",MONTH(CM11))),IF(MONTH(CM11)=MONTH(CL11),"",PROPER(TEXT(CM11,"mmm")))),"")</f>
        <v/>
      </c>
      <c r="CN8" s="42" t="str">
        <f t="shared" ref="CN8" si="54">IF($C$10="Jour",IF($C$11="Non",IF(MONTH(CN11)=MONTH(CM11),"",_xlfn.CONCAT("M",MONTH(CN11))),IF(MONTH(CN11)=MONTH(CM11),"",PROPER(TEXT(CN11,"mmm")))),"")</f>
        <v/>
      </c>
      <c r="CO8" s="42" t="str">
        <f t="shared" ref="CO8" si="55">IF($C$10="Jour",IF($C$11="Non",IF(MONTH(CO11)=MONTH(CN11),"",_xlfn.CONCAT("M",MONTH(CO11))),IF(MONTH(CO11)=MONTH(CN11),"",PROPER(TEXT(CO11,"mmm")))),"")</f>
        <v/>
      </c>
      <c r="CP8" s="42" t="str">
        <f t="shared" ref="CP8" si="56">IF($C$10="Jour",IF($C$11="Non",IF(MONTH(CP11)=MONTH(CO11),"",_xlfn.CONCAT("M",MONTH(CP11))),IF(MONTH(CP11)=MONTH(CO11),"",PROPER(TEXT(CP11,"mmm")))),"")</f>
        <v/>
      </c>
      <c r="CQ8" s="42" t="str">
        <f t="shared" ref="CQ8" si="57">IF($C$10="Jour",IF($C$11="Non",IF(MONTH(CQ11)=MONTH(CP11),"",_xlfn.CONCAT("M",MONTH(CQ11))),IF(MONTH(CQ11)=MONTH(CP11),"",PROPER(TEXT(CQ11,"mmm")))),"")</f>
        <v/>
      </c>
      <c r="CR8" s="42" t="str">
        <f t="shared" ref="CR8" si="58">IF($C$10="Jour",IF($C$11="Non",IF(MONTH(CR11)=MONTH(CQ11),"",_xlfn.CONCAT("M",MONTH(CR11))),IF(MONTH(CR11)=MONTH(CQ11),"",PROPER(TEXT(CR11,"mmm")))),"")</f>
        <v/>
      </c>
      <c r="CS8" s="42" t="str">
        <f t="shared" ref="CS8" si="59">IF($C$10="Jour",IF($C$11="Non",IF(MONTH(CS11)=MONTH(CR11),"",_xlfn.CONCAT("M",MONTH(CS11))),IF(MONTH(CS11)=MONTH(CR11),"",PROPER(TEXT(CS11,"mmm")))),"")</f>
        <v/>
      </c>
      <c r="CT8" s="42" t="str">
        <f t="shared" ref="CT8" si="60">IF($C$10="Jour",IF($C$11="Non",IF(MONTH(CT11)=MONTH(CS11),"",_xlfn.CONCAT("M",MONTH(CT11))),IF(MONTH(CT11)=MONTH(CS11),"",PROPER(TEXT(CT11,"mmm")))),"")</f>
        <v/>
      </c>
      <c r="CU8" s="42" t="str">
        <f t="shared" ref="CU8" si="61">IF($C$10="Jour",IF($C$11="Non",IF(MONTH(CU11)=MONTH(CT11),"",_xlfn.CONCAT("M",MONTH(CU11))),IF(MONTH(CU11)=MONTH(CT11),"",PROPER(TEXT(CU11,"mmm")))),"")</f>
        <v/>
      </c>
      <c r="CV8" s="42" t="str">
        <f t="shared" ref="CV8" si="62">IF($C$10="Jour",IF($C$11="Non",IF(MONTH(CV11)=MONTH(CU11),"",_xlfn.CONCAT("M",MONTH(CV11))),IF(MONTH(CV11)=MONTH(CU11),"",PROPER(TEXT(CV11,"mmm")))),"")</f>
        <v/>
      </c>
      <c r="CW8" s="42" t="str">
        <f t="shared" ref="CW8" si="63">IF($C$10="Jour",IF($C$11="Non",IF(MONTH(CW11)=MONTH(CV11),"",_xlfn.CONCAT("M",MONTH(CW11))),IF(MONTH(CW11)=MONTH(CV11),"",PROPER(TEXT(CW11,"mmm")))),"")</f>
        <v/>
      </c>
      <c r="CX8" s="42" t="str">
        <f t="shared" ref="CX8" si="64">IF($C$10="Jour",IF($C$11="Non",IF(MONTH(CX11)=MONTH(CW11),"",_xlfn.CONCAT("M",MONTH(CX11))),IF(MONTH(CX11)=MONTH(CW11),"",PROPER(TEXT(CX11,"mmm")))),"")</f>
        <v/>
      </c>
      <c r="CY8" s="42" t="str">
        <f t="shared" ref="CY8" si="65">IF($C$10="Jour",IF($C$11="Non",IF(MONTH(CY11)=MONTH(CX11),"",_xlfn.CONCAT("M",MONTH(CY11))),IF(MONTH(CY11)=MONTH(CX11),"",PROPER(TEXT(CY11,"mmm")))),"")</f>
        <v/>
      </c>
      <c r="CZ8" s="42" t="str">
        <f t="shared" ref="CZ8" si="66">IF($C$10="Jour",IF($C$11="Non",IF(MONTH(CZ11)=MONTH(CY11),"",_xlfn.CONCAT("M",MONTH(CZ11))),IF(MONTH(CZ11)=MONTH(CY11),"",PROPER(TEXT(CZ11,"mmm")))),"")</f>
        <v/>
      </c>
      <c r="DA8" s="42" t="str">
        <f t="shared" ref="DA8" si="67">IF($C$10="Jour",IF($C$11="Non",IF(MONTH(DA11)=MONTH(CZ11),"",_xlfn.CONCAT("M",MONTH(DA11))),IF(MONTH(DA11)=MONTH(CZ11),"",PROPER(TEXT(DA11,"mmm")))),"")</f>
        <v/>
      </c>
      <c r="DB8" s="42" t="str">
        <f t="shared" ref="DB8" si="68">IF($C$10="Jour",IF($C$11="Non",IF(MONTH(DB11)=MONTH(DA11),"",_xlfn.CONCAT("M",MONTH(DB11))),IF(MONTH(DB11)=MONTH(DA11),"",PROPER(TEXT(DB11,"mmm")))),"")</f>
        <v/>
      </c>
      <c r="DC8" s="42" t="str">
        <f t="shared" ref="DC8" si="69">IF($C$10="Jour",IF($C$11="Non",IF(MONTH(DC11)=MONTH(DB11),"",_xlfn.CONCAT("M",MONTH(DC11))),IF(MONTH(DC11)=MONTH(DB11),"",PROPER(TEXT(DC11,"mmm")))),"")</f>
        <v/>
      </c>
      <c r="DD8" s="42" t="str">
        <f t="shared" ref="DD8" si="70">IF($C$10="Jour",IF($C$11="Non",IF(MONTH(DD11)=MONTH(DC11),"",_xlfn.CONCAT("M",MONTH(DD11))),IF(MONTH(DD11)=MONTH(DC11),"",PROPER(TEXT(DD11,"mmm")))),"")</f>
        <v/>
      </c>
      <c r="DE8" s="42" t="str">
        <f t="shared" ref="DE8" si="71">IF($C$10="Jour",IF($C$11="Non",IF(MONTH(DE11)=MONTH(DD11),"",_xlfn.CONCAT("M",MONTH(DE11))),IF(MONTH(DE11)=MONTH(DD11),"",PROPER(TEXT(DE11,"mmm")))),"")</f>
        <v/>
      </c>
      <c r="DF8" s="42" t="str">
        <f t="shared" ref="DF8" si="72">IF($C$10="Jour",IF($C$11="Non",IF(MONTH(DF11)=MONTH(DE11),"",_xlfn.CONCAT("M",MONTH(DF11))),IF(MONTH(DF11)=MONTH(DE11),"",PROPER(TEXT(DF11,"mmm")))),"")</f>
        <v/>
      </c>
      <c r="DG8" s="42" t="str">
        <f t="shared" ref="DG8" si="73">IF($C$10="Jour",IF($C$11="Non",IF(MONTH(DG11)=MONTH(DF11),"",_xlfn.CONCAT("M",MONTH(DG11))),IF(MONTH(DG11)=MONTH(DF11),"",PROPER(TEXT(DG11,"mmm")))),"")</f>
        <v/>
      </c>
      <c r="DH8" s="42" t="str">
        <f t="shared" ref="DH8" si="74">IF($C$10="Jour",IF($C$11="Non",IF(MONTH(DH11)=MONTH(DG11),"",_xlfn.CONCAT("M",MONTH(DH11))),IF(MONTH(DH11)=MONTH(DG11),"",PROPER(TEXT(DH11,"mmm")))),"")</f>
        <v>Févr</v>
      </c>
    </row>
    <row r="9" spans="2:112" x14ac:dyDescent="0.3">
      <c r="B9" s="11" t="s">
        <v>39</v>
      </c>
      <c r="C9" s="12" t="s">
        <v>40</v>
      </c>
      <c r="D9" s="3"/>
      <c r="E9" s="3"/>
      <c r="F9" s="16"/>
      <c r="H9" s="43" t="str" cm="1">
        <f t="array" ref="H9">IF($C$10="Jour",_xlfn.CONCAT("S",WEEKNUM(H11,11)),IF($C$11="Non",_xlfn.CONCAT("M",MONTH(H11)),PROPER(TEXT(H11,"mmm"))))</f>
        <v>S43</v>
      </c>
      <c r="I9" s="38" t="str">
        <f>IF($C$10="Jour",IF(WEEKNUM(I11,11)=WEEKNUM(H11,11),"",_xlfn.CONCAT("S",WEEKNUM(I11,11))),IF($C$11="Non",IF(MONTH(I11)=MONTH(H11),"",_xlfn.CONCAT("M",MONTH(I11))),IF(MONTH(I11)=MONTH(H11),"",PROPER(TEXT(I11,"mmm")))))</f>
        <v/>
      </c>
      <c r="J9" s="38" t="str">
        <f t="shared" ref="J9:AL9" si="75">IF($C$10="Jour",IF(WEEKNUM(J11,11)=WEEKNUM(I11,11),"",_xlfn.CONCAT("S",WEEKNUM(J11,11))),IF($C$11="Non",IF(MONTH(J11)=MONTH(I11),"",_xlfn.CONCAT("M",MONTH(J11))),IF(MONTH(J11)=MONTH(I11),"",PROPER(TEXT(J11,"mmm")))))</f>
        <v/>
      </c>
      <c r="K9" s="38" t="str">
        <f t="shared" si="75"/>
        <v/>
      </c>
      <c r="L9" s="38" t="str">
        <f t="shared" si="75"/>
        <v/>
      </c>
      <c r="M9" s="38" t="str">
        <f t="shared" si="75"/>
        <v/>
      </c>
      <c r="N9" s="38" t="str">
        <f t="shared" si="75"/>
        <v/>
      </c>
      <c r="O9" s="38" t="str" cm="1">
        <f t="array" ref="O9">IF($C$10="Jour",IF(WEEKNUM(O11,11)=WEEKNUM(N11,11),"",_xlfn.CONCAT("S",WEEKNUM(O11,11))),IF($C$11="Non",IF(MONTH(O11)=MONTH(N11),"",_xlfn.CONCAT("M",MONTH(O11))),IF(MONTH(O11)=MONTH(N11),"",PROPER(TEXT(O11,"mmm")))))</f>
        <v>S44</v>
      </c>
      <c r="P9" s="38" t="str">
        <f t="shared" si="75"/>
        <v/>
      </c>
      <c r="Q9" s="38" t="str">
        <f t="shared" si="75"/>
        <v/>
      </c>
      <c r="R9" s="38" t="str">
        <f t="shared" si="75"/>
        <v/>
      </c>
      <c r="S9" s="38" t="str">
        <f t="shared" si="75"/>
        <v/>
      </c>
      <c r="T9" s="38" t="str">
        <f t="shared" si="75"/>
        <v/>
      </c>
      <c r="U9" s="38" t="str">
        <f t="shared" si="75"/>
        <v/>
      </c>
      <c r="V9" s="38" t="str">
        <f t="shared" si="75"/>
        <v>S45</v>
      </c>
      <c r="W9" s="38" t="str">
        <f t="shared" si="75"/>
        <v/>
      </c>
      <c r="X9" s="38" t="str">
        <f t="shared" si="75"/>
        <v/>
      </c>
      <c r="Y9" s="38" t="str">
        <f t="shared" si="75"/>
        <v/>
      </c>
      <c r="Z9" s="38" t="str">
        <f t="shared" si="75"/>
        <v/>
      </c>
      <c r="AA9" s="38" t="str">
        <f t="shared" si="75"/>
        <v/>
      </c>
      <c r="AB9" s="38" t="str">
        <f t="shared" si="75"/>
        <v/>
      </c>
      <c r="AC9" s="38" t="str">
        <f t="shared" si="75"/>
        <v>S46</v>
      </c>
      <c r="AD9" s="38" t="str">
        <f t="shared" si="75"/>
        <v/>
      </c>
      <c r="AE9" s="38" t="str">
        <f t="shared" si="75"/>
        <v/>
      </c>
      <c r="AF9" s="38" t="str">
        <f t="shared" si="75"/>
        <v/>
      </c>
      <c r="AG9" s="38" t="str">
        <f t="shared" si="75"/>
        <v/>
      </c>
      <c r="AH9" s="38" t="str">
        <f t="shared" si="75"/>
        <v/>
      </c>
      <c r="AI9" s="38" t="str">
        <f t="shared" si="75"/>
        <v/>
      </c>
      <c r="AJ9" s="38" t="str">
        <f t="shared" si="75"/>
        <v>S47</v>
      </c>
      <c r="AK9" s="38" t="str">
        <f t="shared" si="75"/>
        <v/>
      </c>
      <c r="AL9" s="38" t="str">
        <f t="shared" si="75"/>
        <v/>
      </c>
      <c r="AM9" s="38" t="str">
        <f t="shared" ref="AM9" si="76">IF($C$10="Jour",IF(WEEKNUM(AM11,11)=WEEKNUM(AL11,11),"",_xlfn.CONCAT("S",WEEKNUM(AM11,11))),IF($C$11="Non",IF(MONTH(AM11)=MONTH(AL11),"",_xlfn.CONCAT("M",MONTH(AM11))),IF(MONTH(AM11)=MONTH(AL11),"",PROPER(TEXT(AM11,"mmm")))))</f>
        <v/>
      </c>
      <c r="AN9" s="38" t="str">
        <f t="shared" ref="AN9" si="77">IF($C$10="Jour",IF(WEEKNUM(AN11,11)=WEEKNUM(AM11,11),"",_xlfn.CONCAT("S",WEEKNUM(AN11,11))),IF($C$11="Non",IF(MONTH(AN11)=MONTH(AM11),"",_xlfn.CONCAT("M",MONTH(AN11))),IF(MONTH(AN11)=MONTH(AM11),"",PROPER(TEXT(AN11,"mmm")))))</f>
        <v/>
      </c>
      <c r="AO9" s="38" t="str">
        <f t="shared" ref="AO9" si="78">IF($C$10="Jour",IF(WEEKNUM(AO11,11)=WEEKNUM(AN11,11),"",_xlfn.CONCAT("S",WEEKNUM(AO11,11))),IF($C$11="Non",IF(MONTH(AO11)=MONTH(AN11),"",_xlfn.CONCAT("M",MONTH(AO11))),IF(MONTH(AO11)=MONTH(AN11),"",PROPER(TEXT(AO11,"mmm")))))</f>
        <v/>
      </c>
      <c r="AP9" s="38" t="str">
        <f t="shared" ref="AP9" si="79">IF($C$10="Jour",IF(WEEKNUM(AP11,11)=WEEKNUM(AO11,11),"",_xlfn.CONCAT("S",WEEKNUM(AP11,11))),IF($C$11="Non",IF(MONTH(AP11)=MONTH(AO11),"",_xlfn.CONCAT("M",MONTH(AP11))),IF(MONTH(AP11)=MONTH(AO11),"",PROPER(TEXT(AP11,"mmm")))))</f>
        <v/>
      </c>
      <c r="AQ9" s="38" t="str" cm="1">
        <f t="array" ref="AQ9">IF($C$10="Jour",IF(WEEKNUM(AQ11,11)=WEEKNUM(AP11,11),"",_xlfn.CONCAT("S",WEEKNUM(AQ11,11))),IF($C$11="Non",IF(MONTH(AQ11)=MONTH(AP11),"",_xlfn.CONCAT("M",MONTH(AQ11))),IF(MONTH(AQ11)=MONTH(AP11),"",PROPER(TEXT(AQ11,"mmm")))))</f>
        <v>S48</v>
      </c>
      <c r="AR9" s="38" t="str">
        <f t="shared" ref="AR9" si="80">IF($C$10="Jour",IF(WEEKNUM(AR11,11)=WEEKNUM(AQ11,11),"",_xlfn.CONCAT("S",WEEKNUM(AR11,11))),IF($C$11="Non",IF(MONTH(AR11)=MONTH(AQ11),"",_xlfn.CONCAT("M",MONTH(AR11))),IF(MONTH(AR11)=MONTH(AQ11),"",PROPER(TEXT(AR11,"mmm")))))</f>
        <v/>
      </c>
      <c r="AS9" s="38" t="str">
        <f t="shared" ref="AS9" si="81">IF($C$10="Jour",IF(WEEKNUM(AS11,11)=WEEKNUM(AR11,11),"",_xlfn.CONCAT("S",WEEKNUM(AS11,11))),IF($C$11="Non",IF(MONTH(AS11)=MONTH(AR11),"",_xlfn.CONCAT("M",MONTH(AS11))),IF(MONTH(AS11)=MONTH(AR11),"",PROPER(TEXT(AS11,"mmm")))))</f>
        <v/>
      </c>
      <c r="AT9" s="38" t="str">
        <f t="shared" ref="AT9" si="82">IF($C$10="Jour",IF(WEEKNUM(AT11,11)=WEEKNUM(AS11,11),"",_xlfn.CONCAT("S",WEEKNUM(AT11,11))),IF($C$11="Non",IF(MONTH(AT11)=MONTH(AS11),"",_xlfn.CONCAT("M",MONTH(AT11))),IF(MONTH(AT11)=MONTH(AS11),"",PROPER(TEXT(AT11,"mmm")))))</f>
        <v/>
      </c>
      <c r="AU9" s="38" t="str">
        <f t="shared" ref="AU9" si="83">IF($C$10="Jour",IF(WEEKNUM(AU11,11)=WEEKNUM(AT11,11),"",_xlfn.CONCAT("S",WEEKNUM(AU11,11))),IF($C$11="Non",IF(MONTH(AU11)=MONTH(AT11),"",_xlfn.CONCAT("M",MONTH(AU11))),IF(MONTH(AU11)=MONTH(AT11),"",PROPER(TEXT(AU11,"mmm")))))</f>
        <v/>
      </c>
      <c r="AV9" s="38" t="str">
        <f t="shared" ref="AV9" si="84">IF($C$10="Jour",IF(WEEKNUM(AV11,11)=WEEKNUM(AU11,11),"",_xlfn.CONCAT("S",WEEKNUM(AV11,11))),IF($C$11="Non",IF(MONTH(AV11)=MONTH(AU11),"",_xlfn.CONCAT("M",MONTH(AV11))),IF(MONTH(AV11)=MONTH(AU11),"",PROPER(TEXT(AV11,"mmm")))))</f>
        <v/>
      </c>
      <c r="AW9" s="38" t="str">
        <f t="shared" ref="AW9" si="85">IF($C$10="Jour",IF(WEEKNUM(AW11,11)=WEEKNUM(AV11,11),"",_xlfn.CONCAT("S",WEEKNUM(AW11,11))),IF($C$11="Non",IF(MONTH(AW11)=MONTH(AV11),"",_xlfn.CONCAT("M",MONTH(AW11))),IF(MONTH(AW11)=MONTH(AV11),"",PROPER(TEXT(AW11,"mmm")))))</f>
        <v/>
      </c>
      <c r="AX9" s="38" t="str">
        <f t="shared" ref="AX9" si="86">IF($C$10="Jour",IF(WEEKNUM(AX11,11)=WEEKNUM(AW11,11),"",_xlfn.CONCAT("S",WEEKNUM(AX11,11))),IF($C$11="Non",IF(MONTH(AX11)=MONTH(AW11),"",_xlfn.CONCAT("M",MONTH(AX11))),IF(MONTH(AX11)=MONTH(AW11),"",PROPER(TEXT(AX11,"mmm")))))</f>
        <v>S49</v>
      </c>
      <c r="AY9" s="38" t="str">
        <f t="shared" ref="AY9" si="87">IF($C$10="Jour",IF(WEEKNUM(AY11,11)=WEEKNUM(AX11,11),"",_xlfn.CONCAT("S",WEEKNUM(AY11,11))),IF($C$11="Non",IF(MONTH(AY11)=MONTH(AX11),"",_xlfn.CONCAT("M",MONTH(AY11))),IF(MONTH(AY11)=MONTH(AX11),"",PROPER(TEXT(AY11,"mmm")))))</f>
        <v/>
      </c>
      <c r="AZ9" s="38" t="str">
        <f t="shared" ref="AZ9" si="88">IF($C$10="Jour",IF(WEEKNUM(AZ11,11)=WEEKNUM(AY11,11),"",_xlfn.CONCAT("S",WEEKNUM(AZ11,11))),IF($C$11="Non",IF(MONTH(AZ11)=MONTH(AY11),"",_xlfn.CONCAT("M",MONTH(AZ11))),IF(MONTH(AZ11)=MONTH(AY11),"",PROPER(TEXT(AZ11,"mmm")))))</f>
        <v/>
      </c>
      <c r="BA9" s="38" t="str">
        <f t="shared" ref="BA9" si="89">IF($C$10="Jour",IF(WEEKNUM(BA11,11)=WEEKNUM(AZ11,11),"",_xlfn.CONCAT("S",WEEKNUM(BA11,11))),IF($C$11="Non",IF(MONTH(BA11)=MONTH(AZ11),"",_xlfn.CONCAT("M",MONTH(BA11))),IF(MONTH(BA11)=MONTH(AZ11),"",PROPER(TEXT(BA11,"mmm")))))</f>
        <v/>
      </c>
      <c r="BB9" s="38" t="str">
        <f t="shared" ref="BB9" si="90">IF($C$10="Jour",IF(WEEKNUM(BB11,11)=WEEKNUM(BA11,11),"",_xlfn.CONCAT("S",WEEKNUM(BB11,11))),IF($C$11="Non",IF(MONTH(BB11)=MONTH(BA11),"",_xlfn.CONCAT("M",MONTH(BB11))),IF(MONTH(BB11)=MONTH(BA11),"",PROPER(TEXT(BB11,"mmm")))))</f>
        <v/>
      </c>
      <c r="BC9" s="38" t="str">
        <f t="shared" ref="BC9" si="91">IF($C$10="Jour",IF(WEEKNUM(BC11,11)=WEEKNUM(BB11,11),"",_xlfn.CONCAT("S",WEEKNUM(BC11,11))),IF($C$11="Non",IF(MONTH(BC11)=MONTH(BB11),"",_xlfn.CONCAT("M",MONTH(BC11))),IF(MONTH(BC11)=MONTH(BB11),"",PROPER(TEXT(BC11,"mmm")))))</f>
        <v/>
      </c>
      <c r="BD9" s="38" t="str">
        <f t="shared" ref="BD9" si="92">IF($C$10="Jour",IF(WEEKNUM(BD11,11)=WEEKNUM(BC11,11),"",_xlfn.CONCAT("S",WEEKNUM(BD11,11))),IF($C$11="Non",IF(MONTH(BD11)=MONTH(BC11),"",_xlfn.CONCAT("M",MONTH(BD11))),IF(MONTH(BD11)=MONTH(BC11),"",PROPER(TEXT(BD11,"mmm")))))</f>
        <v/>
      </c>
      <c r="BE9" s="38" t="str" cm="1">
        <f t="array" ref="BE9">IF($C$10="Jour",IF(WEEKNUM(BE11,11)=WEEKNUM(BD11,11),"",_xlfn.CONCAT("S",WEEKNUM(BE11,11))),IF($C$11="Non",IF(MONTH(BE11)=MONTH(BD11),"",_xlfn.CONCAT("M",MONTH(BE11))),IF(MONTH(BE11)=MONTH(BD11),"",PROPER(TEXT(BE11,"mmm")))))</f>
        <v>S50</v>
      </c>
      <c r="BF9" s="38" t="str" cm="1">
        <f t="array" ref="BF9">IF($C$10="Jour",IF(WEEKNUM(BF11,11)=WEEKNUM(BE11,11),"",_xlfn.CONCAT("S",WEEKNUM(BF11,11))),IF($C$11="Non",IF(MONTH(BF11)=MONTH(BE11),"",_xlfn.CONCAT("M",MONTH(BF11))),IF(MONTH(BF11)=MONTH(BE11),"",PROPER(TEXT(BF11,"mmm")))))</f>
        <v/>
      </c>
      <c r="BG9" s="38" t="str" cm="1">
        <f t="array" ref="BG9">IF($C$10="Jour",IF(WEEKNUM(BG11,11)=WEEKNUM(BF11,11),"",_xlfn.CONCAT("S",WEEKNUM(BG11,11))),IF($C$11="Non",IF(MONTH(BG11)=MONTH(BF11),"",_xlfn.CONCAT("M",MONTH(BG11))),IF(MONTH(BG11)=MONTH(BF11),"",PROPER(TEXT(BG11,"mmm")))))</f>
        <v/>
      </c>
      <c r="BH9" s="38" t="str" cm="1">
        <f t="array" ref="BH9">IF($C$10="Jour",IF(WEEKNUM(BH11,11)=WEEKNUM(BG11,11),"",_xlfn.CONCAT("S",WEEKNUM(BH11,11))),IF($C$11="Non",IF(MONTH(BH11)=MONTH(BG11),"",_xlfn.CONCAT("M",MONTH(BH11))),IF(MONTH(BH11)=MONTH(BG11),"",PROPER(TEXT(BH11,"mmm")))))</f>
        <v/>
      </c>
      <c r="BI9" s="38" t="str" cm="1">
        <f t="array" ref="BI9">IF($C$10="Jour",IF(WEEKNUM(BI11,11)=WEEKNUM(BH11,11),"",_xlfn.CONCAT("S",WEEKNUM(BI11,11))),IF($C$11="Non",IF(MONTH(BI11)=MONTH(BH11),"",_xlfn.CONCAT("M",MONTH(BI11))),IF(MONTH(BI11)=MONTH(BH11),"",PROPER(TEXT(BI11,"mmm")))))</f>
        <v/>
      </c>
      <c r="BJ9" s="38" t="str" cm="1">
        <f t="array" ref="BJ9">IF($C$10="Jour",IF(WEEKNUM(BJ11,11)=WEEKNUM(BI11,11),"",_xlfn.CONCAT("S",WEEKNUM(BJ11,11))),IF($C$11="Non",IF(MONTH(BJ11)=MONTH(BI11),"",_xlfn.CONCAT("M",MONTH(BJ11))),IF(MONTH(BJ11)=MONTH(BI11),"",PROPER(TEXT(BJ11,"mmm")))))</f>
        <v/>
      </c>
      <c r="BK9" s="38" t="str" cm="1">
        <f t="array" ref="BK9">IF($C$10="Jour",IF(WEEKNUM(BK11,11)=WEEKNUM(BJ11,11),"",_xlfn.CONCAT("S",WEEKNUM(BK11,11))),IF($C$11="Non",IF(MONTH(BK11)=MONTH(BJ11),"",_xlfn.CONCAT("M",MONTH(BK11))),IF(MONTH(BK11)=MONTH(BJ11),"",PROPER(TEXT(BK11,"mmm")))))</f>
        <v/>
      </c>
      <c r="BL9" s="38" t="str" cm="1">
        <f t="array" ref="BL9">IF($C$10="Jour",IF(WEEKNUM(BL11,11)=WEEKNUM(BK11,11),"",_xlfn.CONCAT("S",WEEKNUM(BL11,11))),IF($C$11="Non",IF(MONTH(BL11)=MONTH(BK11),"",_xlfn.CONCAT("M",MONTH(BL11))),IF(MONTH(BL11)=MONTH(BK11),"",PROPER(TEXT(BL11,"mmm")))))</f>
        <v>S51</v>
      </c>
      <c r="BM9" s="38" t="str" cm="1">
        <f t="array" ref="BM9">IF($C$10="Jour",IF(WEEKNUM(BM11,11)=WEEKNUM(BL11,11),"",_xlfn.CONCAT("S",WEEKNUM(BM11,11))),IF($C$11="Non",IF(MONTH(BM11)=MONTH(BL11),"",_xlfn.CONCAT("M",MONTH(BM11))),IF(MONTH(BM11)=MONTH(BL11),"",PROPER(TEXT(BM11,"mmm")))))</f>
        <v/>
      </c>
      <c r="BN9" s="38" t="str" cm="1">
        <f t="array" ref="BN9">IF($C$10="Jour",IF(WEEKNUM(BN11,11)=WEEKNUM(BM11,11),"",_xlfn.CONCAT("S",WEEKNUM(BN11,11))),IF($C$11="Non",IF(MONTH(BN11)=MONTH(BM11),"",_xlfn.CONCAT("M",MONTH(BN11))),IF(MONTH(BN11)=MONTH(BM11),"",PROPER(TEXT(BN11,"mmm")))))</f>
        <v/>
      </c>
      <c r="BO9" s="38" t="str" cm="1">
        <f t="array" ref="BO9">IF($C$10="Jour",IF(WEEKNUM(BO11,11)=WEEKNUM(BN11,11),"",_xlfn.CONCAT("S",WEEKNUM(BO11,11))),IF($C$11="Non",IF(MONTH(BO11)=MONTH(BN11),"",_xlfn.CONCAT("M",MONTH(BO11))),IF(MONTH(BO11)=MONTH(BN11),"",PROPER(TEXT(BO11,"mmm")))))</f>
        <v/>
      </c>
      <c r="BP9" s="38" t="str" cm="1">
        <f t="array" ref="BP9">IF($C$10="Jour",IF(WEEKNUM(BP11,11)=WEEKNUM(BO11,11),"",_xlfn.CONCAT("S",WEEKNUM(BP11,11))),IF($C$11="Non",IF(MONTH(BP11)=MONTH(BO11),"",_xlfn.CONCAT("M",MONTH(BP11))),IF(MONTH(BP11)=MONTH(BO11),"",PROPER(TEXT(BP11,"mmm")))))</f>
        <v/>
      </c>
      <c r="BQ9" s="38" t="str" cm="1">
        <f t="array" ref="BQ9">IF($C$10="Jour",IF(WEEKNUM(BQ11,11)=WEEKNUM(BP11,11),"",_xlfn.CONCAT("S",WEEKNUM(BQ11,11))),IF($C$11="Non",IF(MONTH(BQ11)=MONTH(BP11),"",_xlfn.CONCAT("M",MONTH(BQ11))),IF(MONTH(BQ11)=MONTH(BP11),"",PROPER(TEXT(BQ11,"mmm")))))</f>
        <v/>
      </c>
      <c r="BR9" s="38" t="str" cm="1">
        <f t="array" ref="BR9">IF($C$10="Jour",IF(WEEKNUM(BR11,11)=WEEKNUM(BQ11,11),"",_xlfn.CONCAT("S",WEEKNUM(BR11,11))),IF($C$11="Non",IF(MONTH(BR11)=MONTH(BQ11),"",_xlfn.CONCAT("M",MONTH(BR11))),IF(MONTH(BR11)=MONTH(BQ11),"",PROPER(TEXT(BR11,"mmm")))))</f>
        <v/>
      </c>
      <c r="BS9" s="38" t="str" cm="1">
        <f t="array" ref="BS9">IF($C$10="Jour",IF(WEEKNUM(BS11,11)=WEEKNUM(BR11,11),"",_xlfn.CONCAT("S",WEEKNUM(BS11,11))),IF($C$11="Non",IF(MONTH(BS11)=MONTH(BR11),"",_xlfn.CONCAT("M",MONTH(BS11))),IF(MONTH(BS11)=MONTH(BR11),"",PROPER(TEXT(BS11,"mmm")))))</f>
        <v>S52</v>
      </c>
      <c r="BT9" s="38" t="str" cm="1">
        <f t="array" ref="BT9">IF($C$10="Jour",IF(WEEKNUM(BT11,11)=WEEKNUM(BS11,11),"",_xlfn.CONCAT("S",WEEKNUM(BT11,11))),IF($C$11="Non",IF(MONTH(BT11)=MONTH(BS11),"",_xlfn.CONCAT("M",MONTH(BT11))),IF(MONTH(BT11)=MONTH(BS11),"",PROPER(TEXT(BT11,"mmm")))))</f>
        <v/>
      </c>
      <c r="BU9" s="38" t="str" cm="1">
        <f t="array" ref="BU9">IF($C$10="Jour",IF(WEEKNUM(BU11,11)=WEEKNUM(BT11,11),"",_xlfn.CONCAT("S",WEEKNUM(BU11,11))),IF($C$11="Non",IF(MONTH(BU11)=MONTH(BT11),"",_xlfn.CONCAT("M",MONTH(BU11))),IF(MONTH(BU11)=MONTH(BT11),"",PROPER(TEXT(BU11,"mmm")))))</f>
        <v/>
      </c>
      <c r="BV9" s="38" t="str" cm="1">
        <f t="array" ref="BV9">IF($C$10="Jour",IF(WEEKNUM(BV11,11)=WEEKNUM(BU11,11),"",_xlfn.CONCAT("S",WEEKNUM(BV11,11))),IF($C$11="Non",IF(MONTH(BV11)=MONTH(BU11),"",_xlfn.CONCAT("M",MONTH(BV11))),IF(MONTH(BV11)=MONTH(BU11),"",PROPER(TEXT(BV11,"mmm")))))</f>
        <v/>
      </c>
      <c r="BW9" s="38" t="str" cm="1">
        <f t="array" ref="BW9">IF($C$10="Jour",IF(WEEKNUM(BW11,11)=WEEKNUM(BV11,11),"",_xlfn.CONCAT("S",WEEKNUM(BW11,11))),IF($C$11="Non",IF(MONTH(BW11)=MONTH(BV11),"",_xlfn.CONCAT("M",MONTH(BW11))),IF(MONTH(BW11)=MONTH(BV11),"",PROPER(TEXT(BW11,"mmm")))))</f>
        <v/>
      </c>
      <c r="BX9" s="38" t="str" cm="1">
        <f t="array" ref="BX9">IF($C$10="Jour",IF(WEEKNUM(BX11,11)=WEEKNUM(BW11,11),"",_xlfn.CONCAT("S",WEEKNUM(BX11,11))),IF($C$11="Non",IF(MONTH(BX11)=MONTH(BW11),"",_xlfn.CONCAT("M",MONTH(BX11))),IF(MONTH(BX11)=MONTH(BW11),"",PROPER(TEXT(BX11,"mmm")))))</f>
        <v/>
      </c>
      <c r="BY9" s="38" t="str" cm="1">
        <f t="array" ref="BY9">IF($C$10="Jour",IF(WEEKNUM(BY11,11)=WEEKNUM(BX11,11),"",_xlfn.CONCAT("S",WEEKNUM(BY11,11))),IF($C$11="Non",IF(MONTH(BY11)=MONTH(BX11),"",_xlfn.CONCAT("M",MONTH(BY11))),IF(MONTH(BY11)=MONTH(BX11),"",PROPER(TEXT(BY11,"mmm")))))</f>
        <v/>
      </c>
      <c r="BZ9" s="38" t="str" cm="1">
        <f t="array" ref="BZ9">IF($C$10="Jour",IF(WEEKNUM(BZ11,11)=WEEKNUM(BY11,11),"",_xlfn.CONCAT("S",WEEKNUM(BZ11,11))),IF($C$11="Non",IF(MONTH(BZ11)=MONTH(BY11),"",_xlfn.CONCAT("M",MONTH(BZ11))),IF(MONTH(BZ11)=MONTH(BY11),"",PROPER(TEXT(BZ11,"mmm")))))</f>
        <v>S53</v>
      </c>
      <c r="CA9" s="38" t="str" cm="1">
        <f t="array" ref="CA9">IF($C$10="Jour",IF(WEEKNUM(CA11,11)=WEEKNUM(BZ11,11),"",_xlfn.CONCAT("S",WEEKNUM(CA11,11))),IF($C$11="Non",IF(MONTH(CA11)=MONTH(BZ11),"",_xlfn.CONCAT("M",MONTH(CA11))),IF(MONTH(CA11)=MONTH(BZ11),"",PROPER(TEXT(CA11,"mmm")))))</f>
        <v/>
      </c>
      <c r="CB9" s="38" t="str" cm="1">
        <f t="array" ref="CB9">IF($C$10="Jour",IF(WEEKNUM(CB11,11)=WEEKNUM(CA11,11),"",_xlfn.CONCAT("S",WEEKNUM(CB11,11))),IF($C$11="Non",IF(MONTH(CB11)=MONTH(CA11),"",_xlfn.CONCAT("M",MONTH(CB11))),IF(MONTH(CB11)=MONTH(CA11),"",PROPER(TEXT(CB11,"mmm")))))</f>
        <v/>
      </c>
      <c r="CC9" s="38" t="str" cm="1">
        <f t="array" ref="CC9">IF($C$10="Jour",IF(WEEKNUM(CC11,11)=WEEKNUM(CB11,11),"",_xlfn.CONCAT("S",WEEKNUM(CC11,11))),IF($C$11="Non",IF(MONTH(CC11)=MONTH(CB11),"",_xlfn.CONCAT("M",MONTH(CC11))),IF(MONTH(CC11)=MONTH(CB11),"",PROPER(TEXT(CC11,"mmm")))))</f>
        <v>S1</v>
      </c>
      <c r="CD9" s="38" t="str" cm="1">
        <f t="array" ref="CD9">IF($C$10="Jour",IF(WEEKNUM(CD11,11)=WEEKNUM(CC11,11),"",_xlfn.CONCAT("S",WEEKNUM(CD11,11))),IF($C$11="Non",IF(MONTH(CD11)=MONTH(CC11),"",_xlfn.CONCAT("M",MONTH(CD11))),IF(MONTH(CD11)=MONTH(CC11),"",PROPER(TEXT(CD11,"mmm")))))</f>
        <v/>
      </c>
      <c r="CE9" s="38" t="str" cm="1">
        <f t="array" ref="CE9">IF($C$10="Jour",IF(WEEKNUM(CE11,11)=WEEKNUM(CD11,11),"",_xlfn.CONCAT("S",WEEKNUM(CE11,11))),IF($C$11="Non",IF(MONTH(CE11)=MONTH(CD11),"",_xlfn.CONCAT("M",MONTH(CE11))),IF(MONTH(CE11)=MONTH(CD11),"",PROPER(TEXT(CE11,"mmm")))))</f>
        <v/>
      </c>
      <c r="CF9" s="38" t="str" cm="1">
        <f t="array" ref="CF9">IF($C$10="Jour",IF(WEEKNUM(CF11,11)=WEEKNUM(CE11,11),"",_xlfn.CONCAT("S",WEEKNUM(CF11,11))),IF($C$11="Non",IF(MONTH(CF11)=MONTH(CE11),"",_xlfn.CONCAT("M",MONTH(CF11))),IF(MONTH(CF11)=MONTH(CE11),"",PROPER(TEXT(CF11,"mmm")))))</f>
        <v/>
      </c>
      <c r="CG9" s="38" t="str" cm="1">
        <f t="array" ref="CG9">IF($C$10="Jour",IF(WEEKNUM(CG11,11)=WEEKNUM(CF11,11),"",_xlfn.CONCAT("S",WEEKNUM(CG11,11))),IF($C$11="Non",IF(MONTH(CG11)=MONTH(CF11),"",_xlfn.CONCAT("M",MONTH(CG11))),IF(MONTH(CG11)=MONTH(CF11),"",PROPER(TEXT(CG11,"mmm")))))</f>
        <v>S2</v>
      </c>
      <c r="CH9" s="38" t="str" cm="1">
        <f t="array" ref="CH9">IF($C$10="Jour",IF(WEEKNUM(CH11,11)=WEEKNUM(CG11,11),"",_xlfn.CONCAT("S",WEEKNUM(CH11,11))),IF($C$11="Non",IF(MONTH(CH11)=MONTH(CG11),"",_xlfn.CONCAT("M",MONTH(CH11))),IF(MONTH(CH11)=MONTH(CG11),"",PROPER(TEXT(CH11,"mmm")))))</f>
        <v/>
      </c>
      <c r="CI9" s="38" t="str" cm="1">
        <f t="array" ref="CI9">IF($C$10="Jour",IF(WEEKNUM(CI11,11)=WEEKNUM(CH11,11),"",_xlfn.CONCAT("S",WEEKNUM(CI11,11))),IF($C$11="Non",IF(MONTH(CI11)=MONTH(CH11),"",_xlfn.CONCAT("M",MONTH(CI11))),IF(MONTH(CI11)=MONTH(CH11),"",PROPER(TEXT(CI11,"mmm")))))</f>
        <v/>
      </c>
      <c r="CJ9" s="38" t="str" cm="1">
        <f t="array" ref="CJ9">IF($C$10="Jour",IF(WEEKNUM(CJ11,11)=WEEKNUM(CI11,11),"",_xlfn.CONCAT("S",WEEKNUM(CJ11,11))),IF($C$11="Non",IF(MONTH(CJ11)=MONTH(CI11),"",_xlfn.CONCAT("M",MONTH(CJ11))),IF(MONTH(CJ11)=MONTH(CI11),"",PROPER(TEXT(CJ11,"mmm")))))</f>
        <v/>
      </c>
      <c r="CK9" s="38" t="str" cm="1">
        <f t="array" ref="CK9">IF($C$10="Jour",IF(WEEKNUM(CK11,11)=WEEKNUM(CJ11,11),"",_xlfn.CONCAT("S",WEEKNUM(CK11,11))),IF($C$11="Non",IF(MONTH(CK11)=MONTH(CJ11),"",_xlfn.CONCAT("M",MONTH(CK11))),IF(MONTH(CK11)=MONTH(CJ11),"",PROPER(TEXT(CK11,"mmm")))))</f>
        <v/>
      </c>
      <c r="CL9" s="38" t="str" cm="1">
        <f t="array" ref="CL9">IF($C$10="Jour",IF(WEEKNUM(CL11,11)=WEEKNUM(CK11,11),"",_xlfn.CONCAT("S",WEEKNUM(CL11,11))),IF($C$11="Non",IF(MONTH(CL11)=MONTH(CK11),"",_xlfn.CONCAT("M",MONTH(CL11))),IF(MONTH(CL11)=MONTH(CK11),"",PROPER(TEXT(CL11,"mmm")))))</f>
        <v/>
      </c>
      <c r="CM9" s="38" t="str" cm="1">
        <f t="array" ref="CM9">IF($C$10="Jour",IF(WEEKNUM(CM11,11)=WEEKNUM(CL11,11),"",_xlfn.CONCAT("S",WEEKNUM(CM11,11))),IF($C$11="Non",IF(MONTH(CM11)=MONTH(CL11),"",_xlfn.CONCAT("M",MONTH(CM11))),IF(MONTH(CM11)=MONTH(CL11),"",PROPER(TEXT(CM11,"mmm")))))</f>
        <v/>
      </c>
      <c r="CN9" s="38" t="str" cm="1">
        <f t="array" ref="CN9">IF($C$10="Jour",IF(WEEKNUM(CN11,11)=WEEKNUM(CM11,11),"",_xlfn.CONCAT("S",WEEKNUM(CN11,11))),IF($C$11="Non",IF(MONTH(CN11)=MONTH(CM11),"",_xlfn.CONCAT("M",MONTH(CN11))),IF(MONTH(CN11)=MONTH(CM11),"",PROPER(TEXT(CN11,"mmm")))))</f>
        <v>S3</v>
      </c>
      <c r="CO9" s="38" t="str" cm="1">
        <f t="array" ref="CO9">IF($C$10="Jour",IF(WEEKNUM(CO11,11)=WEEKNUM(CN11,11),"",_xlfn.CONCAT("S",WEEKNUM(CO11,11))),IF($C$11="Non",IF(MONTH(CO11)=MONTH(CN11),"",_xlfn.CONCAT("M",MONTH(CO11))),IF(MONTH(CO11)=MONTH(CN11),"",PROPER(TEXT(CO11,"mmm")))))</f>
        <v/>
      </c>
      <c r="CP9" s="38" t="str" cm="1">
        <f t="array" ref="CP9">IF($C$10="Jour",IF(WEEKNUM(CP11,11)=WEEKNUM(CO11,11),"",_xlfn.CONCAT("S",WEEKNUM(CP11,11))),IF($C$11="Non",IF(MONTH(CP11)=MONTH(CO11),"",_xlfn.CONCAT("M",MONTH(CP11))),IF(MONTH(CP11)=MONTH(CO11),"",PROPER(TEXT(CP11,"mmm")))))</f>
        <v/>
      </c>
      <c r="CQ9" s="38" t="str" cm="1">
        <f t="array" ref="CQ9">IF($C$10="Jour",IF(WEEKNUM(CQ11,11)=WEEKNUM(CP11,11),"",_xlfn.CONCAT("S",WEEKNUM(CQ11,11))),IF($C$11="Non",IF(MONTH(CQ11)=MONTH(CP11),"",_xlfn.CONCAT("M",MONTH(CQ11))),IF(MONTH(CQ11)=MONTH(CP11),"",PROPER(TEXT(CQ11,"mmm")))))</f>
        <v/>
      </c>
      <c r="CR9" s="38" t="str" cm="1">
        <f t="array" ref="CR9">IF($C$10="Jour",IF(WEEKNUM(CR11,11)=WEEKNUM(CQ11,11),"",_xlfn.CONCAT("S",WEEKNUM(CR11,11))),IF($C$11="Non",IF(MONTH(CR11)=MONTH(CQ11),"",_xlfn.CONCAT("M",MONTH(CR11))),IF(MONTH(CR11)=MONTH(CQ11),"",PROPER(TEXT(CR11,"mmm")))))</f>
        <v/>
      </c>
      <c r="CS9" s="38" t="str" cm="1">
        <f t="array" ref="CS9">IF($C$10="Jour",IF(WEEKNUM(CS11,11)=WEEKNUM(CR11,11),"",_xlfn.CONCAT("S",WEEKNUM(CS11,11))),IF($C$11="Non",IF(MONTH(CS11)=MONTH(CR11),"",_xlfn.CONCAT("M",MONTH(CS11))),IF(MONTH(CS11)=MONTH(CR11),"",PROPER(TEXT(CS11,"mmm")))))</f>
        <v/>
      </c>
      <c r="CT9" s="38" t="str" cm="1">
        <f t="array" ref="CT9">IF($C$10="Jour",IF(WEEKNUM(CT11,11)=WEEKNUM(CS11,11),"",_xlfn.CONCAT("S",WEEKNUM(CT11,11))),IF($C$11="Non",IF(MONTH(CT11)=MONTH(CS11),"",_xlfn.CONCAT("M",MONTH(CT11))),IF(MONTH(CT11)=MONTH(CS11),"",PROPER(TEXT(CT11,"mmm")))))</f>
        <v/>
      </c>
      <c r="CU9" s="38" t="str" cm="1">
        <f t="array" ref="CU9">IF($C$10="Jour",IF(WEEKNUM(CU11,11)=WEEKNUM(CT11,11),"",_xlfn.CONCAT("S",WEEKNUM(CU11,11))),IF($C$11="Non",IF(MONTH(CU11)=MONTH(CT11),"",_xlfn.CONCAT("M",MONTH(CU11))),IF(MONTH(CU11)=MONTH(CT11),"",PROPER(TEXT(CU11,"mmm")))))</f>
        <v>S4</v>
      </c>
      <c r="CV9" s="38" t="str" cm="1">
        <f t="array" ref="CV9">IF($C$10="Jour",IF(WEEKNUM(CV11,11)=WEEKNUM(CU11,11),"",_xlfn.CONCAT("S",WEEKNUM(CV11,11))),IF($C$11="Non",IF(MONTH(CV11)=MONTH(CU11),"",_xlfn.CONCAT("M",MONTH(CV11))),IF(MONTH(CV11)=MONTH(CU11),"",PROPER(TEXT(CV11,"mmm")))))</f>
        <v/>
      </c>
      <c r="CW9" s="38" t="str" cm="1">
        <f t="array" ref="CW9">IF($C$10="Jour",IF(WEEKNUM(CW11,11)=WEEKNUM(CV11,11),"",_xlfn.CONCAT("S",WEEKNUM(CW11,11))),IF($C$11="Non",IF(MONTH(CW11)=MONTH(CV11),"",_xlfn.CONCAT("M",MONTH(CW11))),IF(MONTH(CW11)=MONTH(CV11),"",PROPER(TEXT(CW11,"mmm")))))</f>
        <v/>
      </c>
      <c r="CX9" s="38" t="str" cm="1">
        <f t="array" ref="CX9">IF($C$10="Jour",IF(WEEKNUM(CX11,11)=WEEKNUM(CW11,11),"",_xlfn.CONCAT("S",WEEKNUM(CX11,11))),IF($C$11="Non",IF(MONTH(CX11)=MONTH(CW11),"",_xlfn.CONCAT("M",MONTH(CX11))),IF(MONTH(CX11)=MONTH(CW11),"",PROPER(TEXT(CX11,"mmm")))))</f>
        <v/>
      </c>
      <c r="CY9" s="38" t="str" cm="1">
        <f t="array" ref="CY9">IF($C$10="Jour",IF(WEEKNUM(CY11,11)=WEEKNUM(CX11,11),"",_xlfn.CONCAT("S",WEEKNUM(CY11,11))),IF($C$11="Non",IF(MONTH(CY11)=MONTH(CX11),"",_xlfn.CONCAT("M",MONTH(CY11))),IF(MONTH(CY11)=MONTH(CX11),"",PROPER(TEXT(CY11,"mmm")))))</f>
        <v/>
      </c>
      <c r="CZ9" s="38" t="str" cm="1">
        <f t="array" ref="CZ9">IF($C$10="Jour",IF(WEEKNUM(CZ11,11)=WEEKNUM(CY11,11),"",_xlfn.CONCAT("S",WEEKNUM(CZ11,11))),IF($C$11="Non",IF(MONTH(CZ11)=MONTH(CY11),"",_xlfn.CONCAT("M",MONTH(CZ11))),IF(MONTH(CZ11)=MONTH(CY11),"",PROPER(TEXT(CZ11,"mmm")))))</f>
        <v/>
      </c>
      <c r="DA9" s="38" t="str" cm="1">
        <f t="array" ref="DA9">IF($C$10="Jour",IF(WEEKNUM(DA11,11)=WEEKNUM(CZ11,11),"",_xlfn.CONCAT("S",WEEKNUM(DA11,11))),IF($C$11="Non",IF(MONTH(DA11)=MONTH(CZ11),"",_xlfn.CONCAT("M",MONTH(DA11))),IF(MONTH(DA11)=MONTH(CZ11),"",PROPER(TEXT(DA11,"mmm")))))</f>
        <v/>
      </c>
      <c r="DB9" s="38" t="str" cm="1">
        <f t="array" ref="DB9">IF($C$10="Jour",IF(WEEKNUM(DB11,11)=WEEKNUM(DA11,11),"",_xlfn.CONCAT("S",WEEKNUM(DB11,11))),IF($C$11="Non",IF(MONTH(DB11)=MONTH(DA11),"",_xlfn.CONCAT("M",MONTH(DB11))),IF(MONTH(DB11)=MONTH(DA11),"",PROPER(TEXT(DB11,"mmm")))))</f>
        <v>S5</v>
      </c>
      <c r="DC9" s="38" t="str" cm="1">
        <f t="array" ref="DC9">IF($C$10="Jour",IF(WEEKNUM(DC11,11)=WEEKNUM(DB11,11),"",_xlfn.CONCAT("S",WEEKNUM(DC11,11))),IF($C$11="Non",IF(MONTH(DC11)=MONTH(DB11),"",_xlfn.CONCAT("M",MONTH(DC11))),IF(MONTH(DC11)=MONTH(DB11),"",PROPER(TEXT(DC11,"mmm")))))</f>
        <v/>
      </c>
      <c r="DD9" s="38" t="str" cm="1">
        <f t="array" ref="DD9">IF($C$10="Jour",IF(WEEKNUM(DD11,11)=WEEKNUM(DC11,11),"",_xlfn.CONCAT("S",WEEKNUM(DD11,11))),IF($C$11="Non",IF(MONTH(DD11)=MONTH(DC11),"",_xlfn.CONCAT("M",MONTH(DD11))),IF(MONTH(DD11)=MONTH(DC11),"",PROPER(TEXT(DD11,"mmm")))))</f>
        <v/>
      </c>
      <c r="DE9" s="38" t="str" cm="1">
        <f t="array" ref="DE9">IF($C$10="Jour",IF(WEEKNUM(DE11,11)=WEEKNUM(DD11,11),"",_xlfn.CONCAT("S",WEEKNUM(DE11,11))),IF($C$11="Non",IF(MONTH(DE11)=MONTH(DD11),"",_xlfn.CONCAT("M",MONTH(DE11))),IF(MONTH(DE11)=MONTH(DD11),"",PROPER(TEXT(DE11,"mmm")))))</f>
        <v/>
      </c>
      <c r="DF9" s="38" t="str" cm="1">
        <f t="array" ref="DF9">IF($C$10="Jour",IF(WEEKNUM(DF11,11)=WEEKNUM(DE11,11),"",_xlfn.CONCAT("S",WEEKNUM(DF11,11))),IF($C$11="Non",IF(MONTH(DF11)=MONTH(DE11),"",_xlfn.CONCAT("M",MONTH(DF11))),IF(MONTH(DF11)=MONTH(DE11),"",PROPER(TEXT(DF11,"mmm")))))</f>
        <v/>
      </c>
      <c r="DG9" s="38" t="str" cm="1">
        <f t="array" ref="DG9">IF($C$10="Jour",IF(WEEKNUM(DG11,11)=WEEKNUM(DF11,11),"",_xlfn.CONCAT("S",WEEKNUM(DG11,11))),IF($C$11="Non",IF(MONTH(DG11)=MONTH(DF11),"",_xlfn.CONCAT("M",MONTH(DG11))),IF(MONTH(DG11)=MONTH(DF11),"",PROPER(TEXT(DG11,"mmm")))))</f>
        <v/>
      </c>
      <c r="DH9" s="38" t="str" cm="1">
        <f t="array" ref="DH9">IF($C$10="Jour",IF(WEEKNUM(DH11,11)=WEEKNUM(DG11,11),"",_xlfn.CONCAT("S",WEEKNUM(DH11,11))),IF($C$11="Non",IF(MONTH(DH11)=MONTH(DG11),"",_xlfn.CONCAT("M",MONTH(DH11))),IF(MONTH(DH11)=MONTH(DG11),"",PROPER(TEXT(DH11,"mmm")))))</f>
        <v/>
      </c>
    </row>
    <row r="10" spans="2:112" ht="11.95" customHeight="1" x14ac:dyDescent="0.3">
      <c r="B10" s="11" t="s">
        <v>41</v>
      </c>
      <c r="C10" s="12" t="s">
        <v>42</v>
      </c>
      <c r="D10" s="3"/>
      <c r="E10" s="3"/>
      <c r="H10" s="37" t="str">
        <f t="shared" ref="H10:BS10" si="93">IF($C$10="Jour",PROPER(LEFT(TEXT(H11,"jjj"),1)),_xlfn.CONCAT("S",WEEKNUM(H11,21)))</f>
        <v>L</v>
      </c>
      <c r="I10" s="37" t="str">
        <f t="shared" si="93"/>
        <v>M</v>
      </c>
      <c r="J10" s="37" t="str">
        <f t="shared" si="93"/>
        <v>M</v>
      </c>
      <c r="K10" s="37" t="str">
        <f t="shared" si="93"/>
        <v>J</v>
      </c>
      <c r="L10" s="37" t="str">
        <f t="shared" si="93"/>
        <v>V</v>
      </c>
      <c r="M10" s="37" t="str">
        <f t="shared" si="93"/>
        <v>S</v>
      </c>
      <c r="N10" s="37" t="str">
        <f t="shared" si="93"/>
        <v>D</v>
      </c>
      <c r="O10" s="37" t="str">
        <f t="shared" si="93"/>
        <v>L</v>
      </c>
      <c r="P10" s="37" t="str">
        <f t="shared" si="93"/>
        <v>M</v>
      </c>
      <c r="Q10" s="37" t="str">
        <f t="shared" si="93"/>
        <v>M</v>
      </c>
      <c r="R10" s="37" t="str">
        <f t="shared" si="93"/>
        <v>J</v>
      </c>
      <c r="S10" s="37" t="str">
        <f t="shared" si="93"/>
        <v>V</v>
      </c>
      <c r="T10" s="37" t="str">
        <f t="shared" si="93"/>
        <v>S</v>
      </c>
      <c r="U10" s="37" t="str">
        <f t="shared" si="93"/>
        <v>D</v>
      </c>
      <c r="V10" s="37" t="str">
        <f t="shared" si="93"/>
        <v>L</v>
      </c>
      <c r="W10" s="37" t="str">
        <f t="shared" si="93"/>
        <v>M</v>
      </c>
      <c r="X10" s="37" t="str">
        <f t="shared" si="93"/>
        <v>M</v>
      </c>
      <c r="Y10" s="37" t="str">
        <f t="shared" si="93"/>
        <v>J</v>
      </c>
      <c r="Z10" s="37" t="str">
        <f t="shared" si="93"/>
        <v>V</v>
      </c>
      <c r="AA10" s="37" t="str">
        <f t="shared" si="93"/>
        <v>S</v>
      </c>
      <c r="AB10" s="37" t="str">
        <f t="shared" si="93"/>
        <v>D</v>
      </c>
      <c r="AC10" s="37" t="str">
        <f t="shared" si="93"/>
        <v>L</v>
      </c>
      <c r="AD10" s="37" t="str">
        <f t="shared" si="93"/>
        <v>M</v>
      </c>
      <c r="AE10" s="37" t="str">
        <f t="shared" si="93"/>
        <v>M</v>
      </c>
      <c r="AF10" s="37" t="str">
        <f t="shared" si="93"/>
        <v>J</v>
      </c>
      <c r="AG10" s="37" t="str">
        <f t="shared" si="93"/>
        <v>V</v>
      </c>
      <c r="AH10" s="37" t="str">
        <f t="shared" si="93"/>
        <v>S</v>
      </c>
      <c r="AI10" s="37" t="str">
        <f t="shared" si="93"/>
        <v>D</v>
      </c>
      <c r="AJ10" s="37" t="str">
        <f t="shared" si="93"/>
        <v>L</v>
      </c>
      <c r="AK10" s="37" t="str">
        <f t="shared" si="93"/>
        <v>M</v>
      </c>
      <c r="AL10" s="37" t="str">
        <f t="shared" si="93"/>
        <v>M</v>
      </c>
      <c r="AM10" s="37" t="str">
        <f t="shared" si="93"/>
        <v>J</v>
      </c>
      <c r="AN10" s="37" t="str">
        <f t="shared" si="93"/>
        <v>V</v>
      </c>
      <c r="AO10" s="37" t="str">
        <f t="shared" si="93"/>
        <v>S</v>
      </c>
      <c r="AP10" s="37" t="str">
        <f t="shared" si="93"/>
        <v>D</v>
      </c>
      <c r="AQ10" s="37" t="str">
        <f t="shared" si="93"/>
        <v>L</v>
      </c>
      <c r="AR10" s="37" t="str">
        <f t="shared" si="93"/>
        <v>M</v>
      </c>
      <c r="AS10" s="37" t="str">
        <f t="shared" si="93"/>
        <v>M</v>
      </c>
      <c r="AT10" s="37" t="str">
        <f t="shared" si="93"/>
        <v>J</v>
      </c>
      <c r="AU10" s="37" t="str">
        <f t="shared" si="93"/>
        <v>V</v>
      </c>
      <c r="AV10" s="37" t="str">
        <f t="shared" si="93"/>
        <v>S</v>
      </c>
      <c r="AW10" s="37" t="str">
        <f t="shared" si="93"/>
        <v>D</v>
      </c>
      <c r="AX10" s="37" t="str">
        <f t="shared" si="93"/>
        <v>L</v>
      </c>
      <c r="AY10" s="37" t="str">
        <f t="shared" si="93"/>
        <v>M</v>
      </c>
      <c r="AZ10" s="37" t="str">
        <f t="shared" si="93"/>
        <v>M</v>
      </c>
      <c r="BA10" s="37" t="str">
        <f t="shared" si="93"/>
        <v>J</v>
      </c>
      <c r="BB10" s="37" t="str">
        <f t="shared" si="93"/>
        <v>V</v>
      </c>
      <c r="BC10" s="37" t="str">
        <f t="shared" si="93"/>
        <v>S</v>
      </c>
      <c r="BD10" s="37" t="str">
        <f t="shared" si="93"/>
        <v>D</v>
      </c>
      <c r="BE10" s="37" t="str">
        <f t="shared" si="93"/>
        <v>L</v>
      </c>
      <c r="BF10" s="37" t="str">
        <f t="shared" si="93"/>
        <v>M</v>
      </c>
      <c r="BG10" s="37" t="str">
        <f t="shared" si="93"/>
        <v>M</v>
      </c>
      <c r="BH10" s="37" t="str">
        <f t="shared" si="93"/>
        <v>J</v>
      </c>
      <c r="BI10" s="37" t="str">
        <f t="shared" si="93"/>
        <v>V</v>
      </c>
      <c r="BJ10" s="37" t="str">
        <f t="shared" si="93"/>
        <v>S</v>
      </c>
      <c r="BK10" s="37" t="str">
        <f t="shared" si="93"/>
        <v>D</v>
      </c>
      <c r="BL10" s="37" t="str">
        <f t="shared" si="93"/>
        <v>L</v>
      </c>
      <c r="BM10" s="37" t="str">
        <f t="shared" si="93"/>
        <v>M</v>
      </c>
      <c r="BN10" s="37" t="str">
        <f t="shared" si="93"/>
        <v>M</v>
      </c>
      <c r="BO10" s="37" t="str">
        <f t="shared" si="93"/>
        <v>J</v>
      </c>
      <c r="BP10" s="37" t="str">
        <f t="shared" si="93"/>
        <v>V</v>
      </c>
      <c r="BQ10" s="37" t="str">
        <f t="shared" si="93"/>
        <v>S</v>
      </c>
      <c r="BR10" s="37" t="str">
        <f t="shared" si="93"/>
        <v>D</v>
      </c>
      <c r="BS10" s="37" t="str">
        <f t="shared" si="93"/>
        <v>L</v>
      </c>
      <c r="BT10" s="37" t="str">
        <f t="shared" ref="BT10:DH10" si="94">IF($C$10="Jour",PROPER(LEFT(TEXT(BT11,"jjj"),1)),_xlfn.CONCAT("S",WEEKNUM(BT11,21)))</f>
        <v>M</v>
      </c>
      <c r="BU10" s="37" t="str">
        <f t="shared" si="94"/>
        <v>M</v>
      </c>
      <c r="BV10" s="37" t="str">
        <f t="shared" si="94"/>
        <v>J</v>
      </c>
      <c r="BW10" s="37" t="str">
        <f t="shared" si="94"/>
        <v>V</v>
      </c>
      <c r="BX10" s="37" t="str">
        <f t="shared" si="94"/>
        <v>S</v>
      </c>
      <c r="BY10" s="37" t="str">
        <f t="shared" si="94"/>
        <v>D</v>
      </c>
      <c r="BZ10" s="37" t="str">
        <f t="shared" si="94"/>
        <v>L</v>
      </c>
      <c r="CA10" s="37" t="str">
        <f t="shared" si="94"/>
        <v>M</v>
      </c>
      <c r="CB10" s="37" t="str">
        <f t="shared" si="94"/>
        <v>M</v>
      </c>
      <c r="CC10" s="37" t="str">
        <f t="shared" si="94"/>
        <v>J</v>
      </c>
      <c r="CD10" s="37" t="str">
        <f t="shared" si="94"/>
        <v>V</v>
      </c>
      <c r="CE10" s="37" t="str">
        <f t="shared" si="94"/>
        <v>S</v>
      </c>
      <c r="CF10" s="37" t="str">
        <f t="shared" si="94"/>
        <v>D</v>
      </c>
      <c r="CG10" s="37" t="str">
        <f t="shared" si="94"/>
        <v>L</v>
      </c>
      <c r="CH10" s="37" t="str">
        <f t="shared" si="94"/>
        <v>M</v>
      </c>
      <c r="CI10" s="37" t="str">
        <f t="shared" si="94"/>
        <v>M</v>
      </c>
      <c r="CJ10" s="37" t="str">
        <f t="shared" si="94"/>
        <v>J</v>
      </c>
      <c r="CK10" s="37" t="str">
        <f t="shared" si="94"/>
        <v>V</v>
      </c>
      <c r="CL10" s="37" t="str">
        <f t="shared" si="94"/>
        <v>S</v>
      </c>
      <c r="CM10" s="37" t="str">
        <f t="shared" si="94"/>
        <v>D</v>
      </c>
      <c r="CN10" s="37" t="str">
        <f t="shared" si="94"/>
        <v>L</v>
      </c>
      <c r="CO10" s="37" t="str">
        <f t="shared" si="94"/>
        <v>M</v>
      </c>
      <c r="CP10" s="37" t="str">
        <f t="shared" si="94"/>
        <v>M</v>
      </c>
      <c r="CQ10" s="37" t="str">
        <f t="shared" si="94"/>
        <v>J</v>
      </c>
      <c r="CR10" s="37" t="str">
        <f t="shared" si="94"/>
        <v>V</v>
      </c>
      <c r="CS10" s="37" t="str">
        <f t="shared" si="94"/>
        <v>S</v>
      </c>
      <c r="CT10" s="37" t="str">
        <f t="shared" si="94"/>
        <v>D</v>
      </c>
      <c r="CU10" s="37" t="str">
        <f t="shared" si="94"/>
        <v>L</v>
      </c>
      <c r="CV10" s="37" t="str">
        <f t="shared" si="94"/>
        <v>M</v>
      </c>
      <c r="CW10" s="37" t="str">
        <f t="shared" si="94"/>
        <v>M</v>
      </c>
      <c r="CX10" s="37" t="str">
        <f t="shared" si="94"/>
        <v>J</v>
      </c>
      <c r="CY10" s="37" t="str">
        <f t="shared" si="94"/>
        <v>V</v>
      </c>
      <c r="CZ10" s="37" t="str">
        <f t="shared" si="94"/>
        <v>S</v>
      </c>
      <c r="DA10" s="37" t="str">
        <f t="shared" si="94"/>
        <v>D</v>
      </c>
      <c r="DB10" s="37" t="str">
        <f t="shared" si="94"/>
        <v>L</v>
      </c>
      <c r="DC10" s="37" t="str">
        <f t="shared" si="94"/>
        <v>M</v>
      </c>
      <c r="DD10" s="37" t="str">
        <f t="shared" si="94"/>
        <v>M</v>
      </c>
      <c r="DE10" s="37" t="str">
        <f t="shared" si="94"/>
        <v>J</v>
      </c>
      <c r="DF10" s="37" t="str">
        <f t="shared" si="94"/>
        <v>V</v>
      </c>
      <c r="DG10" s="37" t="str">
        <f t="shared" si="94"/>
        <v>S</v>
      </c>
      <c r="DH10" s="37" t="str">
        <f t="shared" si="94"/>
        <v>D</v>
      </c>
    </row>
    <row r="11" spans="2:112" ht="10.55" customHeight="1" x14ac:dyDescent="0.3">
      <c r="B11" s="1" t="s">
        <v>43</v>
      </c>
      <c r="C11" s="12" t="s">
        <v>44</v>
      </c>
      <c r="D11" s="3"/>
      <c r="E11" s="3"/>
      <c r="H11" s="36">
        <f>Début_projet+Sem_Affichée*7</f>
        <v>45950</v>
      </c>
      <c r="I11" s="36">
        <f>IF($C$10="Jour",H11+1,H11+7)</f>
        <v>45951</v>
      </c>
      <c r="J11" s="36">
        <f t="shared" ref="J11:AL11" si="95">IF($C$10="Jour",I11+1,I11+7)</f>
        <v>45952</v>
      </c>
      <c r="K11" s="36">
        <f t="shared" si="95"/>
        <v>45953</v>
      </c>
      <c r="L11" s="36">
        <f t="shared" si="95"/>
        <v>45954</v>
      </c>
      <c r="M11" s="36">
        <f t="shared" si="95"/>
        <v>45955</v>
      </c>
      <c r="N11" s="36">
        <f t="shared" si="95"/>
        <v>45956</v>
      </c>
      <c r="O11" s="36">
        <f t="shared" si="95"/>
        <v>45957</v>
      </c>
      <c r="P11" s="36">
        <f t="shared" si="95"/>
        <v>45958</v>
      </c>
      <c r="Q11" s="36">
        <f t="shared" si="95"/>
        <v>45959</v>
      </c>
      <c r="R11" s="36">
        <f t="shared" si="95"/>
        <v>45960</v>
      </c>
      <c r="S11" s="36">
        <f t="shared" si="95"/>
        <v>45961</v>
      </c>
      <c r="T11" s="36">
        <f t="shared" si="95"/>
        <v>45962</v>
      </c>
      <c r="U11" s="36">
        <f t="shared" si="95"/>
        <v>45963</v>
      </c>
      <c r="V11" s="36">
        <f t="shared" si="95"/>
        <v>45964</v>
      </c>
      <c r="W11" s="36">
        <f t="shared" si="95"/>
        <v>45965</v>
      </c>
      <c r="X11" s="36">
        <f t="shared" si="95"/>
        <v>45966</v>
      </c>
      <c r="Y11" s="36">
        <f t="shared" si="95"/>
        <v>45967</v>
      </c>
      <c r="Z11" s="36">
        <f t="shared" si="95"/>
        <v>45968</v>
      </c>
      <c r="AA11" s="36">
        <f t="shared" si="95"/>
        <v>45969</v>
      </c>
      <c r="AB11" s="36">
        <f t="shared" si="95"/>
        <v>45970</v>
      </c>
      <c r="AC11" s="36">
        <f t="shared" si="95"/>
        <v>45971</v>
      </c>
      <c r="AD11" s="36">
        <f t="shared" si="95"/>
        <v>45972</v>
      </c>
      <c r="AE11" s="36">
        <f t="shared" si="95"/>
        <v>45973</v>
      </c>
      <c r="AF11" s="36">
        <f t="shared" si="95"/>
        <v>45974</v>
      </c>
      <c r="AG11" s="36">
        <f t="shared" si="95"/>
        <v>45975</v>
      </c>
      <c r="AH11" s="36">
        <f t="shared" si="95"/>
        <v>45976</v>
      </c>
      <c r="AI11" s="36">
        <f t="shared" si="95"/>
        <v>45977</v>
      </c>
      <c r="AJ11" s="36">
        <f t="shared" si="95"/>
        <v>45978</v>
      </c>
      <c r="AK11" s="36">
        <f t="shared" si="95"/>
        <v>45979</v>
      </c>
      <c r="AL11" s="36">
        <f t="shared" si="95"/>
        <v>45980</v>
      </c>
      <c r="AM11" s="36">
        <f t="shared" ref="AM11" si="96">IF($C$10="Jour",AL11+1,AL11+7)</f>
        <v>45981</v>
      </c>
      <c r="AN11" s="36">
        <f t="shared" ref="AN11" si="97">IF($C$10="Jour",AM11+1,AM11+7)</f>
        <v>45982</v>
      </c>
      <c r="AO11" s="36">
        <f t="shared" ref="AO11" si="98">IF($C$10="Jour",AN11+1,AN11+7)</f>
        <v>45983</v>
      </c>
      <c r="AP11" s="36">
        <f t="shared" ref="AP11" si="99">IF($C$10="Jour",AO11+1,AO11+7)</f>
        <v>45984</v>
      </c>
      <c r="AQ11" s="36">
        <f t="shared" ref="AQ11" si="100">IF($C$10="Jour",AP11+1,AP11+7)</f>
        <v>45985</v>
      </c>
      <c r="AR11" s="36">
        <f t="shared" ref="AR11" si="101">IF($C$10="Jour",AQ11+1,AQ11+7)</f>
        <v>45986</v>
      </c>
      <c r="AS11" s="36">
        <f t="shared" ref="AS11" si="102">IF($C$10="Jour",AR11+1,AR11+7)</f>
        <v>45987</v>
      </c>
      <c r="AT11" s="36">
        <f t="shared" ref="AT11" si="103">IF($C$10="Jour",AS11+1,AS11+7)</f>
        <v>45988</v>
      </c>
      <c r="AU11" s="36">
        <f t="shared" ref="AU11" si="104">IF($C$10="Jour",AT11+1,AT11+7)</f>
        <v>45989</v>
      </c>
      <c r="AV11" s="36">
        <f t="shared" ref="AV11" si="105">IF($C$10="Jour",AU11+1,AU11+7)</f>
        <v>45990</v>
      </c>
      <c r="AW11" s="36">
        <f t="shared" ref="AW11" si="106">IF($C$10="Jour",AV11+1,AV11+7)</f>
        <v>45991</v>
      </c>
      <c r="AX11" s="36">
        <f t="shared" ref="AX11" si="107">IF($C$10="Jour",AW11+1,AW11+7)</f>
        <v>45992</v>
      </c>
      <c r="AY11" s="36">
        <f t="shared" ref="AY11" si="108">IF($C$10="Jour",AX11+1,AX11+7)</f>
        <v>45993</v>
      </c>
      <c r="AZ11" s="36">
        <f t="shared" ref="AZ11" si="109">IF($C$10="Jour",AY11+1,AY11+7)</f>
        <v>45994</v>
      </c>
      <c r="BA11" s="36">
        <f t="shared" ref="BA11" si="110">IF($C$10="Jour",AZ11+1,AZ11+7)</f>
        <v>45995</v>
      </c>
      <c r="BB11" s="36">
        <f t="shared" ref="BB11" si="111">IF($C$10="Jour",BA11+1,BA11+7)</f>
        <v>45996</v>
      </c>
      <c r="BC11" s="36">
        <f t="shared" ref="BC11" si="112">IF($C$10="Jour",BB11+1,BB11+7)</f>
        <v>45997</v>
      </c>
      <c r="BD11" s="36">
        <f t="shared" ref="BD11" si="113">IF($C$10="Jour",BC11+1,BC11+7)</f>
        <v>45998</v>
      </c>
      <c r="BE11" s="36">
        <f t="shared" ref="BE11" si="114">IF($C$10="Jour",BD11+1,BD11+7)</f>
        <v>45999</v>
      </c>
      <c r="BF11" s="36">
        <f t="shared" ref="BF11" si="115">IF($C$10="Jour",BE11+1,BE11+7)</f>
        <v>46000</v>
      </c>
      <c r="BG11" s="36">
        <f t="shared" ref="BG11" si="116">IF($C$10="Jour",BF11+1,BF11+7)</f>
        <v>46001</v>
      </c>
      <c r="BH11" s="36">
        <f t="shared" ref="BH11" si="117">IF($C$10="Jour",BG11+1,BG11+7)</f>
        <v>46002</v>
      </c>
      <c r="BI11" s="36">
        <f t="shared" ref="BI11" si="118">IF($C$10="Jour",BH11+1,BH11+7)</f>
        <v>46003</v>
      </c>
      <c r="BJ11" s="36">
        <f t="shared" ref="BJ11" si="119">IF($C$10="Jour",BI11+1,BI11+7)</f>
        <v>46004</v>
      </c>
      <c r="BK11" s="36">
        <f t="shared" ref="BK11" si="120">IF($C$10="Jour",BJ11+1,BJ11+7)</f>
        <v>46005</v>
      </c>
      <c r="BL11" s="36">
        <f t="shared" ref="BL11" si="121">IF($C$10="Jour",BK11+1,BK11+7)</f>
        <v>46006</v>
      </c>
      <c r="BM11" s="36">
        <f t="shared" ref="BM11" si="122">IF($C$10="Jour",BL11+1,BL11+7)</f>
        <v>46007</v>
      </c>
      <c r="BN11" s="36">
        <f t="shared" ref="BN11" si="123">IF($C$10="Jour",BM11+1,BM11+7)</f>
        <v>46008</v>
      </c>
      <c r="BO11" s="36">
        <f t="shared" ref="BO11" si="124">IF($C$10="Jour",BN11+1,BN11+7)</f>
        <v>46009</v>
      </c>
      <c r="BP11" s="36">
        <f t="shared" ref="BP11" si="125">IF($C$10="Jour",BO11+1,BO11+7)</f>
        <v>46010</v>
      </c>
      <c r="BQ11" s="36">
        <f t="shared" ref="BQ11" si="126">IF($C$10="Jour",BP11+1,BP11+7)</f>
        <v>46011</v>
      </c>
      <c r="BR11" s="36">
        <f t="shared" ref="BR11" si="127">IF($C$10="Jour",BQ11+1,BQ11+7)</f>
        <v>46012</v>
      </c>
      <c r="BS11" s="36">
        <f t="shared" ref="BS11" si="128">IF($C$10="Jour",BR11+1,BR11+7)</f>
        <v>46013</v>
      </c>
      <c r="BT11" s="36">
        <f t="shared" ref="BT11" si="129">IF($C$10="Jour",BS11+1,BS11+7)</f>
        <v>46014</v>
      </c>
      <c r="BU11" s="36">
        <f t="shared" ref="BU11" si="130">IF($C$10="Jour",BT11+1,BT11+7)</f>
        <v>46015</v>
      </c>
      <c r="BV11" s="36">
        <f t="shared" ref="BV11" si="131">IF($C$10="Jour",BU11+1,BU11+7)</f>
        <v>46016</v>
      </c>
      <c r="BW11" s="36">
        <f t="shared" ref="BW11" si="132">IF($C$10="Jour",BV11+1,BV11+7)</f>
        <v>46017</v>
      </c>
      <c r="BX11" s="36">
        <f t="shared" ref="BX11" si="133">IF($C$10="Jour",BW11+1,BW11+7)</f>
        <v>46018</v>
      </c>
      <c r="BY11" s="36">
        <f t="shared" ref="BY11" si="134">IF($C$10="Jour",BX11+1,BX11+7)</f>
        <v>46019</v>
      </c>
      <c r="BZ11" s="36">
        <f t="shared" ref="BZ11" si="135">IF($C$10="Jour",BY11+1,BY11+7)</f>
        <v>46020</v>
      </c>
      <c r="CA11" s="36">
        <f t="shared" ref="CA11" si="136">IF($C$10="Jour",BZ11+1,BZ11+7)</f>
        <v>46021</v>
      </c>
      <c r="CB11" s="36">
        <f t="shared" ref="CB11" si="137">IF($C$10="Jour",CA11+1,CA11+7)</f>
        <v>46022</v>
      </c>
      <c r="CC11" s="36">
        <f t="shared" ref="CC11" si="138">IF($C$10="Jour",CB11+1,CB11+7)</f>
        <v>46023</v>
      </c>
      <c r="CD11" s="36">
        <f t="shared" ref="CD11" si="139">IF($C$10="Jour",CC11+1,CC11+7)</f>
        <v>46024</v>
      </c>
      <c r="CE11" s="36">
        <f t="shared" ref="CE11" si="140">IF($C$10="Jour",CD11+1,CD11+7)</f>
        <v>46025</v>
      </c>
      <c r="CF11" s="36">
        <f t="shared" ref="CF11" si="141">IF($C$10="Jour",CE11+1,CE11+7)</f>
        <v>46026</v>
      </c>
      <c r="CG11" s="36">
        <f t="shared" ref="CG11" si="142">IF($C$10="Jour",CF11+1,CF11+7)</f>
        <v>46027</v>
      </c>
      <c r="CH11" s="36">
        <f t="shared" ref="CH11" si="143">IF($C$10="Jour",CG11+1,CG11+7)</f>
        <v>46028</v>
      </c>
      <c r="CI11" s="36">
        <f t="shared" ref="CI11" si="144">IF($C$10="Jour",CH11+1,CH11+7)</f>
        <v>46029</v>
      </c>
      <c r="CJ11" s="36">
        <f t="shared" ref="CJ11" si="145">IF($C$10="Jour",CI11+1,CI11+7)</f>
        <v>46030</v>
      </c>
      <c r="CK11" s="36">
        <f t="shared" ref="CK11" si="146">IF($C$10="Jour",CJ11+1,CJ11+7)</f>
        <v>46031</v>
      </c>
      <c r="CL11" s="36">
        <f t="shared" ref="CL11" si="147">IF($C$10="Jour",CK11+1,CK11+7)</f>
        <v>46032</v>
      </c>
      <c r="CM11" s="36">
        <f t="shared" ref="CM11" si="148">IF($C$10="Jour",CL11+1,CL11+7)</f>
        <v>46033</v>
      </c>
      <c r="CN11" s="36">
        <f t="shared" ref="CN11" si="149">IF($C$10="Jour",CM11+1,CM11+7)</f>
        <v>46034</v>
      </c>
      <c r="CO11" s="36">
        <f t="shared" ref="CO11" si="150">IF($C$10="Jour",CN11+1,CN11+7)</f>
        <v>46035</v>
      </c>
      <c r="CP11" s="36">
        <f t="shared" ref="CP11" si="151">IF($C$10="Jour",CO11+1,CO11+7)</f>
        <v>46036</v>
      </c>
      <c r="CQ11" s="36">
        <f t="shared" ref="CQ11" si="152">IF($C$10="Jour",CP11+1,CP11+7)</f>
        <v>46037</v>
      </c>
      <c r="CR11" s="36">
        <f t="shared" ref="CR11" si="153">IF($C$10="Jour",CQ11+1,CQ11+7)</f>
        <v>46038</v>
      </c>
      <c r="CS11" s="36">
        <f t="shared" ref="CS11" si="154">IF($C$10="Jour",CR11+1,CR11+7)</f>
        <v>46039</v>
      </c>
      <c r="CT11" s="36">
        <f t="shared" ref="CT11" si="155">IF($C$10="Jour",CS11+1,CS11+7)</f>
        <v>46040</v>
      </c>
      <c r="CU11" s="36">
        <f t="shared" ref="CU11" si="156">IF($C$10="Jour",CT11+1,CT11+7)</f>
        <v>46041</v>
      </c>
      <c r="CV11" s="36">
        <f t="shared" ref="CV11" si="157">IF($C$10="Jour",CU11+1,CU11+7)</f>
        <v>46042</v>
      </c>
      <c r="CW11" s="36">
        <f t="shared" ref="CW11" si="158">IF($C$10="Jour",CV11+1,CV11+7)</f>
        <v>46043</v>
      </c>
      <c r="CX11" s="36">
        <f t="shared" ref="CX11" si="159">IF($C$10="Jour",CW11+1,CW11+7)</f>
        <v>46044</v>
      </c>
      <c r="CY11" s="36">
        <f t="shared" ref="CY11" si="160">IF($C$10="Jour",CX11+1,CX11+7)</f>
        <v>46045</v>
      </c>
      <c r="CZ11" s="36">
        <f t="shared" ref="CZ11" si="161">IF($C$10="Jour",CY11+1,CY11+7)</f>
        <v>46046</v>
      </c>
      <c r="DA11" s="36">
        <f t="shared" ref="DA11" si="162">IF($C$10="Jour",CZ11+1,CZ11+7)</f>
        <v>46047</v>
      </c>
      <c r="DB11" s="36">
        <f t="shared" ref="DB11" si="163">IF($C$10="Jour",DA11+1,DA11+7)</f>
        <v>46048</v>
      </c>
      <c r="DC11" s="36">
        <f t="shared" ref="DC11" si="164">IF($C$10="Jour",DB11+1,DB11+7)</f>
        <v>46049</v>
      </c>
      <c r="DD11" s="36">
        <f t="shared" ref="DD11" si="165">IF($C$10="Jour",DC11+1,DC11+7)</f>
        <v>46050</v>
      </c>
      <c r="DE11" s="36">
        <f t="shared" ref="DE11" si="166">IF($C$10="Jour",DD11+1,DD11+7)</f>
        <v>46051</v>
      </c>
      <c r="DF11" s="36">
        <f t="shared" ref="DF11" si="167">IF($C$10="Jour",DE11+1,DE11+7)</f>
        <v>46052</v>
      </c>
      <c r="DG11" s="36">
        <f t="shared" ref="DG11" si="168">IF($C$10="Jour",DF11+1,DF11+7)</f>
        <v>46053</v>
      </c>
      <c r="DH11" s="36">
        <f t="shared" ref="DH11" si="169">IF($C$10="Jour",DG11+1,DG11+7)</f>
        <v>46054</v>
      </c>
    </row>
    <row r="12" spans="2:112" ht="11.95" customHeight="1" x14ac:dyDescent="0.3">
      <c r="B12" s="21" t="s">
        <v>11</v>
      </c>
      <c r="C12" s="33" t="s">
        <v>45</v>
      </c>
      <c r="D12" s="22" t="s">
        <v>46</v>
      </c>
      <c r="E12" s="22" t="s">
        <v>16</v>
      </c>
      <c r="F12" s="22" t="s">
        <v>47</v>
      </c>
      <c r="G12" s="15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</row>
    <row r="13" spans="2:112" ht="11.95" customHeight="1" x14ac:dyDescent="0.3">
      <c r="B13" s="63" t="s">
        <v>84</v>
      </c>
      <c r="C13" s="12"/>
      <c r="D13" s="13"/>
      <c r="E13" s="23"/>
      <c r="F13" s="16"/>
      <c r="G13" s="26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</row>
    <row r="14" spans="2:112" ht="15" customHeight="1" x14ac:dyDescent="0.3">
      <c r="B14" s="48" t="str">
        <f>SoW!D20</f>
        <v>Collecte d'information</v>
      </c>
      <c r="C14" s="12" t="s">
        <v>18</v>
      </c>
      <c r="D14" s="13">
        <v>45950</v>
      </c>
      <c r="E14" s="17">
        <v>0.5</v>
      </c>
      <c r="F14" s="16">
        <f>IF(Tableau2[[#This Row],[Durée]]="",0,IF($C$9="Oui",Tableau2[[#This Row],[Début]]+Tableau2[[#This Row],[Durée]]-0.5,WORKDAY(Tableau2[[#This Row],[Début]],Tableau2[[#This Row],[Durée]]-0.5,Tableau4[Jour férié])))</f>
        <v>45950</v>
      </c>
      <c r="G14" s="17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</row>
    <row r="15" spans="2:112" x14ac:dyDescent="0.3">
      <c r="B15" s="63" t="s">
        <v>85</v>
      </c>
      <c r="C15" s="12"/>
      <c r="D15" s="13"/>
      <c r="E15" s="17"/>
      <c r="F15" s="16"/>
      <c r="G15" s="17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</row>
    <row r="16" spans="2:112" ht="14.25" customHeight="1" x14ac:dyDescent="0.3">
      <c r="B16" s="48" t="str">
        <f>SoW!D21</f>
        <v>Configuration</v>
      </c>
      <c r="C16" s="12" t="s">
        <v>25</v>
      </c>
      <c r="D16" s="13">
        <f>F14+1</f>
        <v>45951</v>
      </c>
      <c r="E16" s="17">
        <v>1</v>
      </c>
      <c r="F16" s="16">
        <f>IF(Tableau2[[#This Row],[Durée]]="",0,IF($C$9="Oui",Tableau2[[#This Row],[Début]]+Tableau2[[#This Row],[Durée]]-1,WORKDAY(Tableau2[[#This Row],[Début]],Tableau2[[#This Row],[Durée]]-1,Tableau4[Jour férié])))</f>
        <v>45951</v>
      </c>
      <c r="G16" s="17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</row>
    <row r="17" spans="2:112" x14ac:dyDescent="0.3">
      <c r="B17" s="63" t="s">
        <v>78</v>
      </c>
      <c r="C17" s="12"/>
      <c r="D17" s="13"/>
      <c r="E17" s="17"/>
      <c r="F17" s="16"/>
      <c r="G17" s="17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</row>
    <row r="18" spans="2:112" ht="15.7" customHeight="1" x14ac:dyDescent="0.3">
      <c r="B18" s="48" t="str">
        <f>SoW!D22</f>
        <v>Test(s) de validation</v>
      </c>
      <c r="C18" s="63" t="s">
        <v>79</v>
      </c>
      <c r="D18" s="13">
        <f>F16</f>
        <v>45951</v>
      </c>
      <c r="E18" s="17">
        <v>0.5</v>
      </c>
      <c r="F18" s="16">
        <f>IF(Tableau2[[#This Row],[Durée]]="",0,IF($C$9="Oui",Tableau2[[#This Row],[Début]]+Tableau2[[#This Row],[Durée]],WORKDAY(Tableau2[[#This Row],[Début]],Tableau2[[#This Row],[Durée]],Tableau4[Jour férié])))</f>
        <v>45951</v>
      </c>
      <c r="G18" s="17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</row>
    <row r="19" spans="2:112" x14ac:dyDescent="0.3">
      <c r="C19" s="63"/>
      <c r="D19" s="18"/>
      <c r="E19" s="28">
        <f>SUBTOTAL(109,Tableau2[Durée])</f>
        <v>2</v>
      </c>
      <c r="F19" s="17"/>
    </row>
  </sheetData>
  <mergeCells count="2">
    <mergeCell ref="B4:AL4"/>
    <mergeCell ref="B1:D2"/>
  </mergeCells>
  <phoneticPr fontId="3" type="noConversion"/>
  <conditionalFormatting sqref="F19 B13:F18">
    <cfRule type="expression" dxfId="37" priority="248">
      <formula>COUNTIFS($B13,"*Phase*")</formula>
    </cfRule>
  </conditionalFormatting>
  <conditionalFormatting sqref="H8:AL9">
    <cfRule type="expression" dxfId="36" priority="402">
      <formula>AND(H$11&lt;=EOMONTH($H$11,7), H$11&gt;EOMONTH($H$11,6),H$11&gt;EOMONTH($H$11,5),H$11&gt;EOMONTH($H$11,4),H$11&gt;EOMONTH($H$11,3),H$11&gt;EOMONTH($H$11,2),H$11&gt;EOMONTH($H$11,1),H$11&gt;EOMONTH($H$11,0))</formula>
    </cfRule>
    <cfRule type="expression" dxfId="35" priority="403">
      <formula>AND(H$11&lt;=EOMONTH($H$11,6), H$11&gt;EOMONTH($H$11,5),H$11&gt;EOMONTH($H$11,4),H$11&gt;EOMONTH($H$11,3),H$11&gt;EOMONTH($H$11,2),H$11&gt;EOMONTH($H$11,1),H$11&gt;EOMONTH($H$11,0))</formula>
    </cfRule>
    <cfRule type="expression" dxfId="34" priority="404">
      <formula>AND(H$11&lt;=EOMONTH($H$11,5), H$11&gt;EOMONTH($H$11,4),H$11&gt;EOMONTH($H$11,3),H$11&gt;EOMONTH($H$11,2),H$11&gt;EOMONTH($H$11,1),H$11&gt;EOMONTH($H$11,0))</formula>
    </cfRule>
    <cfRule type="expression" dxfId="33" priority="405">
      <formula>AND(H$11&lt;=EOMONTH($H$11,4), H$11&gt;EOMONTH($H$11,3),H$11&gt;EOMONTH($H$11,2),H$11&gt;EOMONTH($H$11,1),H$11&gt;EOMONTH($H$11,0))</formula>
    </cfRule>
    <cfRule type="expression" dxfId="32" priority="406">
      <formula>AND(H$11&lt;=EOMONTH($H$11,3),H$11&gt;EOMONTH($H$11,2),H$11&gt;EOMONTH($H$11,1),H$11&gt;EOMONTH($H$11,0))</formula>
    </cfRule>
    <cfRule type="expression" dxfId="31" priority="407">
      <formula>AND(H$11&lt;=EOMONTH($H$11,2),H$11&gt;EOMONTH($H$11,0),H$11&gt;EOMONTH($H$11,1))</formula>
    </cfRule>
    <cfRule type="expression" dxfId="30" priority="408">
      <formula>AND(H$11&lt;=EOMONTH($H$11,1),H$11&gt;EOMONTH($H$11,0))</formula>
    </cfRule>
    <cfRule type="expression" dxfId="29" priority="409">
      <formula>H$11&lt;=EOMONTH($H$11,0)</formula>
    </cfRule>
  </conditionalFormatting>
  <conditionalFormatting sqref="H8:DH8">
    <cfRule type="expression" dxfId="28" priority="177">
      <formula>AND($C$10="Semaine",H$8="")</formula>
    </cfRule>
    <cfRule type="expression" dxfId="27" priority="201">
      <formula>NOT(H$8="")</formula>
    </cfRule>
  </conditionalFormatting>
  <conditionalFormatting sqref="H9:DH9">
    <cfRule type="expression" dxfId="26" priority="388">
      <formula>COUNTIFS(H$9,"*M*")</formula>
    </cfRule>
    <cfRule type="expression" dxfId="25" priority="389">
      <formula>AND($C$10="Jour",ISODD(WEEKNUM(H$11,11)))</formula>
    </cfRule>
    <cfRule type="expression" dxfId="24" priority="390">
      <formula>AND($C$10="Jour",ISEVEN(WEEKNUM(H$11,11)))</formula>
    </cfRule>
    <cfRule type="expression" dxfId="23" priority="391">
      <formula>COUNTIFS(H$9,"*S*")</formula>
    </cfRule>
    <cfRule type="expression" dxfId="22" priority="392">
      <formula>AND(COUNTIFS(H$9,"*M*"),$C$10="Mois")</formula>
    </cfRule>
    <cfRule type="expression" dxfId="21" priority="393">
      <formula>AND(COUNTIFS(H$9,"*S*"),$C$10="Semaine")</formula>
    </cfRule>
  </conditionalFormatting>
  <conditionalFormatting sqref="H12:DH18">
    <cfRule type="expression" dxfId="20" priority="9">
      <formula>AND($C$10="Jour",AND($C$9="Non",NOT(ISNA(MATCH(H$11,INDIRECT("Tableau4[Jour férié]"),0)))))</formula>
    </cfRule>
    <cfRule type="expression" dxfId="19" priority="10">
      <formula>AND($C$9="Non",(OR(H$10="S",H$10="D")))</formula>
    </cfRule>
    <cfRule type="expression" dxfId="18" priority="11">
      <formula>AND($C$10="Jour",NOT(ISNA(MATCH(H$11,INDIRECT("Tableau4[Jour férié]"),0))))</formula>
    </cfRule>
    <cfRule type="expression" dxfId="17" priority="12">
      <formula>AND($C$9="Oui",(OR(H$10="S",H$10="D")))</formula>
    </cfRule>
    <cfRule type="expression" dxfId="16" priority="13">
      <formula>AND($C12="Post-Implémentation",H$11&gt;=$D12,H$11&lt;=$F12)</formula>
    </cfRule>
    <cfRule type="expression" dxfId="15" priority="14">
      <formula>AND($C12="Implémentation",H$11&gt;=$D12,H$11&lt;=$F12)</formula>
    </cfRule>
    <cfRule type="expression" dxfId="14" priority="15">
      <formula>AND($C12="Préparation",H$11&gt;=$D12,H$11&lt;=$F12)</formula>
    </cfRule>
    <cfRule type="expression" dxfId="13" priority="16">
      <formula>AND(H$11&gt;=$D12,H$11&lt;=$F12)</formula>
    </cfRule>
  </conditionalFormatting>
  <conditionalFormatting sqref="AM8:DH9">
    <cfRule type="expression" dxfId="12" priority="1">
      <formula>AND(AM$11&lt;=EOMONTH($H$11,7), AM$11&gt;EOMONTH($H$11,6),AM$11&gt;EOMONTH($H$11,5),AM$11&gt;EOMONTH($H$11,4),AM$11&gt;EOMONTH($H$11,3),AM$11&gt;EOMONTH($H$11,2),AM$11&gt;EOMONTH($H$11,1),AM$11&gt;EOMONTH($H$11,0))</formula>
    </cfRule>
    <cfRule type="expression" dxfId="11" priority="2">
      <formula>AND(AM$11&lt;=EOMONTH($H$11,6), AM$11&gt;EOMONTH($H$11,5),AM$11&gt;EOMONTH($H$11,4),AM$11&gt;EOMONTH($H$11,3),AM$11&gt;EOMONTH($H$11,2),AM$11&gt;EOMONTH($H$11,1),AM$11&gt;EOMONTH($H$11,0))</formula>
    </cfRule>
    <cfRule type="expression" dxfId="10" priority="3">
      <formula>AND(AM$11&lt;=EOMONTH($H$11,5), AM$11&gt;EOMONTH($H$11,4),AM$11&gt;EOMONTH($H$11,3),AM$11&gt;EOMONTH($H$11,2),AM$11&gt;EOMONTH($H$11,1),AM$11&gt;EOMONTH($H$11,0))</formula>
    </cfRule>
    <cfRule type="expression" dxfId="9" priority="4">
      <formula>AND(AM$11&lt;=EOMONTH($H$11,4), AM$11&gt;EOMONTH($H$11,3),AM$11&gt;EOMONTH($H$11,2),AM$11&gt;EOMONTH($H$11,1),AM$11&gt;EOMONTH($H$11,0))</formula>
    </cfRule>
    <cfRule type="expression" dxfId="8" priority="5">
      <formula>AND(AM$11&lt;=EOMONTH($H$11,3),AM$11&gt;EOMONTH($H$11,2),AM$11&gt;EOMONTH($H$11,1),AM$11&gt;EOMONTH($H$11,0))</formula>
    </cfRule>
    <cfRule type="expression" dxfId="7" priority="6">
      <formula>AND(AM$11&lt;=EOMONTH($H$11,2),AM$11&gt;EOMONTH($H$11,0),AM$11&gt;EOMONTH($H$11,1))</formula>
    </cfRule>
    <cfRule type="expression" dxfId="6" priority="7">
      <formula>AND(AM$11&lt;=EOMONTH($H$11,1),AM$11&gt;EOMONTH($H$11,0))</formula>
    </cfRule>
    <cfRule type="expression" dxfId="5" priority="8">
      <formula>AM$11&lt;=EOMONTH($H$11,0)</formula>
    </cfRule>
  </conditionalFormatting>
  <dataValidations count="3">
    <dataValidation type="list" allowBlank="1" showInputMessage="1" showErrorMessage="1" sqref="C9 C11" xr:uid="{4C063854-C45B-4C26-B1BF-969B5B0514BC}">
      <formula1>"Oui,Non"</formula1>
    </dataValidation>
    <dataValidation type="list" allowBlank="1" showInputMessage="1" showErrorMessage="1" sqref="C9:C11" xr:uid="{74C65358-5531-4C0A-A82F-89FD9021BA98}">
      <formula1>"Jour,Semaine"</formula1>
    </dataValidation>
    <dataValidation type="list" allowBlank="1" showInputMessage="1" showErrorMessage="1" sqref="C13:C18" xr:uid="{C6DFC535-E615-43DF-9AD8-52654FBAEDCB}">
      <formula1>"Préparation, Implémentation, Post-Implémentation"</formula1>
    </dataValidation>
  </dataValidations>
  <pageMargins left="0.25" right="0.25" top="0.75" bottom="0.75" header="0.3" footer="0.3"/>
  <pageSetup paperSize="9" scale="81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63" r:id="rId4" name="Scroll Bar 43">
              <controlPr defaultSize="0" autoPict="0">
                <anchor moveWithCells="1">
                  <from>
                    <xdr:col>7</xdr:col>
                    <xdr:colOff>0</xdr:colOff>
                    <xdr:row>5</xdr:row>
                    <xdr:rowOff>65837</xdr:rowOff>
                  </from>
                  <to>
                    <xdr:col>37</xdr:col>
                    <xdr:colOff>219456</xdr:colOff>
                    <xdr:row>5</xdr:row>
                    <xdr:rowOff>212141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4"/>
  <dimension ref="B3:K19"/>
  <sheetViews>
    <sheetView showGridLines="0" zoomScaleNormal="100" workbookViewId="0">
      <selection activeCell="D7" sqref="D7"/>
    </sheetView>
  </sheetViews>
  <sheetFormatPr baseColWidth="10" defaultColWidth="5.59765625" defaultRowHeight="10.4" x14ac:dyDescent="0.3"/>
  <cols>
    <col min="1" max="1" width="5.59765625" style="1"/>
    <col min="2" max="2" width="18.09765625" style="1" bestFit="1" customWidth="1"/>
    <col min="3" max="3" width="5.59765625" style="1"/>
    <col min="4" max="4" width="13.69921875" style="1" bestFit="1" customWidth="1"/>
    <col min="5" max="5" width="5.59765625" style="1"/>
    <col min="6" max="6" width="17.09765625" style="1" bestFit="1" customWidth="1"/>
    <col min="7" max="7" width="5.59765625" style="1" customWidth="1"/>
    <col min="8" max="8" width="17.09765625" style="1" customWidth="1"/>
    <col min="9" max="9" width="5.59765625" style="1"/>
    <col min="10" max="10" width="20.69921875" style="1" bestFit="1" customWidth="1"/>
    <col min="11" max="11" width="27.09765625" style="1" bestFit="1" customWidth="1"/>
    <col min="12" max="16384" width="5.59765625" style="1"/>
  </cols>
  <sheetData>
    <row r="3" spans="2:11" x14ac:dyDescent="0.3">
      <c r="B3" s="14" t="s">
        <v>49</v>
      </c>
      <c r="C3" s="14"/>
      <c r="D3" s="14" t="s">
        <v>25</v>
      </c>
      <c r="E3" s="14"/>
      <c r="F3" s="14" t="s">
        <v>30</v>
      </c>
      <c r="G3" s="14"/>
      <c r="H3" s="14" t="s">
        <v>50</v>
      </c>
      <c r="J3" s="1" t="s">
        <v>48</v>
      </c>
      <c r="K3" s="1" t="s">
        <v>12</v>
      </c>
    </row>
    <row r="4" spans="2:11" x14ac:dyDescent="0.3">
      <c r="B4" s="1" t="s">
        <v>19</v>
      </c>
      <c r="D4" s="47" t="s">
        <v>27</v>
      </c>
      <c r="F4" s="47" t="s">
        <v>31</v>
      </c>
      <c r="H4" s="1" t="s">
        <v>18</v>
      </c>
      <c r="J4" s="19">
        <v>45658</v>
      </c>
      <c r="K4" s="20" t="s">
        <v>51</v>
      </c>
    </row>
    <row r="5" spans="2:11" x14ac:dyDescent="0.3">
      <c r="B5" s="1" t="s">
        <v>22</v>
      </c>
      <c r="D5" s="1" t="s">
        <v>26</v>
      </c>
      <c r="F5" s="1" t="s">
        <v>52</v>
      </c>
      <c r="H5" s="1" t="s">
        <v>53</v>
      </c>
      <c r="J5" s="19">
        <v>45724</v>
      </c>
      <c r="K5" s="20" t="s">
        <v>54</v>
      </c>
    </row>
    <row r="6" spans="2:11" x14ac:dyDescent="0.3">
      <c r="B6" s="1" t="s">
        <v>55</v>
      </c>
      <c r="D6" s="1" t="s">
        <v>28</v>
      </c>
      <c r="F6" s="1" t="s">
        <v>29</v>
      </c>
      <c r="H6" s="1" t="s">
        <v>56</v>
      </c>
      <c r="J6" s="19">
        <v>45745</v>
      </c>
      <c r="K6" s="20" t="s">
        <v>57</v>
      </c>
    </row>
    <row r="7" spans="2:11" x14ac:dyDescent="0.3">
      <c r="B7" s="1" t="s">
        <v>53</v>
      </c>
      <c r="D7" s="1" t="s">
        <v>32</v>
      </c>
      <c r="F7" s="1" t="s">
        <v>32</v>
      </c>
      <c r="H7" s="1" t="s">
        <v>58</v>
      </c>
      <c r="J7" s="19">
        <v>45747</v>
      </c>
      <c r="K7" s="20" t="s">
        <v>59</v>
      </c>
    </row>
    <row r="8" spans="2:11" x14ac:dyDescent="0.3">
      <c r="B8" s="1" t="s">
        <v>60</v>
      </c>
      <c r="H8" s="1" t="s">
        <v>32</v>
      </c>
      <c r="J8" s="19">
        <v>45767</v>
      </c>
      <c r="K8" s="20" t="s">
        <v>61</v>
      </c>
    </row>
    <row r="9" spans="2:11" x14ac:dyDescent="0.3">
      <c r="B9" s="1" t="s">
        <v>62</v>
      </c>
      <c r="J9" s="19">
        <v>45768</v>
      </c>
      <c r="K9" s="20" t="s">
        <v>63</v>
      </c>
    </row>
    <row r="10" spans="2:11" x14ac:dyDescent="0.3">
      <c r="B10" s="1" t="s">
        <v>64</v>
      </c>
      <c r="J10" s="19">
        <v>45778</v>
      </c>
      <c r="K10" s="20" t="s">
        <v>65</v>
      </c>
    </row>
    <row r="11" spans="2:11" x14ac:dyDescent="0.3">
      <c r="B11" s="1" t="s">
        <v>66</v>
      </c>
      <c r="J11" s="19">
        <v>45806</v>
      </c>
      <c r="K11" s="20" t="s">
        <v>67</v>
      </c>
    </row>
    <row r="12" spans="2:11" x14ac:dyDescent="0.3">
      <c r="J12" s="19">
        <v>45816</v>
      </c>
      <c r="K12" s="20" t="s">
        <v>68</v>
      </c>
    </row>
    <row r="13" spans="2:11" x14ac:dyDescent="0.3">
      <c r="J13" s="19">
        <v>45817</v>
      </c>
      <c r="K13" s="20" t="s">
        <v>69</v>
      </c>
    </row>
    <row r="14" spans="2:11" x14ac:dyDescent="0.3">
      <c r="J14" s="19">
        <v>45834</v>
      </c>
      <c r="K14" s="20" t="s">
        <v>70</v>
      </c>
    </row>
    <row r="15" spans="2:11" x14ac:dyDescent="0.3">
      <c r="B15" s="1" t="s">
        <v>71</v>
      </c>
      <c r="J15" s="19">
        <v>45884</v>
      </c>
      <c r="K15" s="20" t="s">
        <v>72</v>
      </c>
    </row>
    <row r="16" spans="2:11" x14ac:dyDescent="0.3">
      <c r="B16" s="1" t="s">
        <v>18</v>
      </c>
      <c r="J16" s="19">
        <v>45962</v>
      </c>
      <c r="K16" s="20" t="s">
        <v>73</v>
      </c>
    </row>
    <row r="17" spans="2:11" x14ac:dyDescent="0.3">
      <c r="B17" s="1" t="s">
        <v>25</v>
      </c>
      <c r="J17" s="19">
        <v>46016</v>
      </c>
      <c r="K17" s="20" t="s">
        <v>74</v>
      </c>
    </row>
    <row r="18" spans="2:11" x14ac:dyDescent="0.3">
      <c r="B18" s="1" t="s">
        <v>30</v>
      </c>
    </row>
    <row r="19" spans="2:11" x14ac:dyDescent="0.3">
      <c r="B19" s="1" t="s">
        <v>50</v>
      </c>
    </row>
  </sheetData>
  <phoneticPr fontId="3" type="noConversion"/>
  <pageMargins left="0.7" right="0.7" top="0.75" bottom="0.75" header="0.3" footer="0.3"/>
  <pageSetup paperSize="9" scale="62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13</vt:i4>
      </vt:variant>
    </vt:vector>
  </HeadingPairs>
  <TitlesOfParts>
    <vt:vector size="16" baseType="lpstr">
      <vt:lpstr>SoW</vt:lpstr>
      <vt:lpstr>Calendrier</vt:lpstr>
      <vt:lpstr>Base de données</vt:lpstr>
      <vt:lpstr>Audit</vt:lpstr>
      <vt:lpstr>SoW!Début_Projet</vt:lpstr>
      <vt:lpstr>Début_projet</vt:lpstr>
      <vt:lpstr>Férié</vt:lpstr>
      <vt:lpstr>Implémentation</vt:lpstr>
      <vt:lpstr>SoW!Impression_des_titres</vt:lpstr>
      <vt:lpstr>SoW!Incrément_de_défilement</vt:lpstr>
      <vt:lpstr>Post_Implémentation</vt:lpstr>
      <vt:lpstr>Préparation</vt:lpstr>
      <vt:lpstr>Sem_Affichée</vt:lpstr>
      <vt:lpstr>'Base de données'!Zone_d_impression</vt:lpstr>
      <vt:lpstr>Calendrier!Zone_d_impression</vt:lpstr>
      <vt:lpstr>SoW!Zone_d_impression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Solondrainy Tsinjo</cp:lastModifiedBy>
  <cp:revision/>
  <dcterms:created xsi:type="dcterms:W3CDTF">2021-10-23T06:51:43Z</dcterms:created>
  <dcterms:modified xsi:type="dcterms:W3CDTF">2025-10-14T13:21:41Z</dcterms:modified>
  <cp:category/>
  <cp:contentStatus/>
</cp:coreProperties>
</file>
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trlProps/ctrlProp1.xml" ContentType="application/vnd.ms-excel.controlproperties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c29d40c4128e07/Documents/Presales/"/>
    </mc:Choice>
  </mc:AlternateContent>
  <xr:revisionPtr revIDLastSave="6" documentId="13_ncr:1_{F477DBF1-732D-460E-B658-25D476065A23}" xr6:coauthVersionLast="47" xr6:coauthVersionMax="47" xr10:uidLastSave="{34EF63C8-A35A-4F18-B338-125D3028B888}"/>
  <bookViews>
    <workbookView xWindow="-104" yWindow="-104" windowWidth="22326" windowHeight="11947" xr2:uid="{00000000-000D-0000-FFFF-FFFF00000000}"/>
  </bookViews>
  <sheets>
    <sheet name="SoW" sheetId="4" r:id="rId1"/>
    <sheet name="Calendrier" sheetId="7" r:id="rId2"/>
    <sheet name="Base de données" sheetId="1" r:id="rId3"/>
  </sheets>
  <definedNames>
    <definedName name="_xlnm._FilterDatabase" localSheetId="2" hidden="1">'Base de données'!#REF!</definedName>
    <definedName name="Audit">Tableau117[Audit]</definedName>
    <definedName name="Début_Projet" localSheetId="0">SoW!$C$6</definedName>
    <definedName name="Début_projet">Calendrier!$C$8</definedName>
    <definedName name="Férié">Tableau4[Jour férié]</definedName>
    <definedName name="Implémentation">Tableau10[Implémentation]</definedName>
    <definedName name="_xlnm.Print_Titles" localSheetId="0">SoW!$18:$19</definedName>
    <definedName name="Incrément_de_défilement" localSheetId="0">SoW!$C$7</definedName>
    <definedName name="Post_Implémentation">Tableau11[Post_Implémentation]</definedName>
    <definedName name="Préparation">Tableau8[Préparation / Conception]</definedName>
    <definedName name="Sem_Affichée">Calendrier!$C$7</definedName>
    <definedName name="_xlnm.Print_Area" localSheetId="2">'Base de données'!$A$1:$B$2</definedName>
    <definedName name="_xlnm.Print_Area" localSheetId="1">Calendrier!$B$1:$AL$23</definedName>
    <definedName name="_xlnm.Print_Area" localSheetId="0">SoW!$B$1:$I$39</definedName>
  </definedNames>
  <calcPr calcId="191028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7" l="1"/>
  <c r="D17" i="7" s="1"/>
  <c r="C8" i="7"/>
  <c r="F14" i="7"/>
  <c r="F16" i="7" s="1"/>
  <c r="B20" i="7"/>
  <c r="B18" i="7"/>
  <c r="B17" i="7"/>
  <c r="B16" i="7"/>
  <c r="B14" i="7"/>
  <c r="E21" i="7" l="1"/>
  <c r="H11" i="7" l="1"/>
  <c r="H9" i="7" s="1"/>
  <c r="H8" i="7" l="1"/>
  <c r="H10" i="7"/>
  <c r="I11" i="7"/>
  <c r="B1" i="7"/>
  <c r="I9" i="7" l="1"/>
  <c r="I8" i="7"/>
  <c r="J11" i="7"/>
  <c r="I10" i="7"/>
  <c r="J9" i="7" l="1"/>
  <c r="J8" i="7"/>
  <c r="J10" i="7"/>
  <c r="K11" i="7"/>
  <c r="K9" i="7" l="1"/>
  <c r="K8" i="7"/>
  <c r="K10" i="7"/>
  <c r="L11" i="7"/>
  <c r="L9" i="7" l="1"/>
  <c r="L8" i="7"/>
  <c r="M11" i="7"/>
  <c r="L10" i="7"/>
  <c r="M9" i="7" l="1"/>
  <c r="M8" i="7"/>
  <c r="M10" i="7"/>
  <c r="N11" i="7"/>
  <c r="N9" i="7" l="1"/>
  <c r="N8" i="7"/>
  <c r="N10" i="7"/>
  <c r="O11" i="7"/>
  <c r="O9" i="7" l="1"/>
  <c r="O8" i="7"/>
  <c r="P11" i="7"/>
  <c r="O10" i="7"/>
  <c r="P9" i="7" l="1"/>
  <c r="P8" i="7"/>
  <c r="P10" i="7"/>
  <c r="Q11" i="7"/>
  <c r="Q9" i="7" l="1"/>
  <c r="Q8" i="7"/>
  <c r="Q10" i="7"/>
  <c r="R11" i="7"/>
  <c r="R9" i="7" l="1"/>
  <c r="R8" i="7"/>
  <c r="R10" i="7"/>
  <c r="S11" i="7"/>
  <c r="S9" i="7" l="1"/>
  <c r="S8" i="7"/>
  <c r="S10" i="7"/>
  <c r="T11" i="7"/>
  <c r="T9" i="7" l="1"/>
  <c r="T8" i="7"/>
  <c r="T10" i="7"/>
  <c r="U11" i="7"/>
  <c r="U9" i="7" l="1"/>
  <c r="U8" i="7"/>
  <c r="U10" i="7"/>
  <c r="V11" i="7"/>
  <c r="V9" i="7" l="1"/>
  <c r="V8" i="7"/>
  <c r="V10" i="7"/>
  <c r="W11" i="7"/>
  <c r="W9" i="7" l="1"/>
  <c r="W8" i="7"/>
  <c r="X11" i="7"/>
  <c r="W10" i="7"/>
  <c r="X9" i="7" l="1"/>
  <c r="X8" i="7"/>
  <c r="X10" i="7"/>
  <c r="Y11" i="7"/>
  <c r="Y9" i="7" l="1"/>
  <c r="Y8" i="7"/>
  <c r="Y10" i="7"/>
  <c r="Z11" i="7"/>
  <c r="Z9" i="7" l="1"/>
  <c r="Z8" i="7"/>
  <c r="Z10" i="7"/>
  <c r="AA11" i="7"/>
  <c r="AA9" i="7" l="1"/>
  <c r="AA8" i="7"/>
  <c r="AA10" i="7"/>
  <c r="AB11" i="7"/>
  <c r="AB9" i="7" l="1"/>
  <c r="AB8" i="7"/>
  <c r="AB10" i="7"/>
  <c r="AC11" i="7"/>
  <c r="AC9" i="7" l="1"/>
  <c r="AC8" i="7"/>
  <c r="AC10" i="7"/>
  <c r="AD11" i="7"/>
  <c r="AD9" i="7" l="1"/>
  <c r="AD8" i="7"/>
  <c r="AD10" i="7"/>
  <c r="AE11" i="7"/>
  <c r="AE9" i="7" l="1"/>
  <c r="AE8" i="7"/>
  <c r="AE10" i="7"/>
  <c r="AF11" i="7"/>
  <c r="AF9" i="7" l="1"/>
  <c r="AF8" i="7"/>
  <c r="AF10" i="7"/>
  <c r="AG11" i="7"/>
  <c r="AG9" i="7" l="1"/>
  <c r="AG8" i="7"/>
  <c r="AG10" i="7"/>
  <c r="AH11" i="7"/>
  <c r="AH9" i="7" l="1"/>
  <c r="AH8" i="7"/>
  <c r="AH10" i="7"/>
  <c r="AI11" i="7"/>
  <c r="AI9" i="7" l="1"/>
  <c r="AI8" i="7"/>
  <c r="AJ11" i="7"/>
  <c r="AI10" i="7"/>
  <c r="AJ9" i="7" l="1"/>
  <c r="AJ8" i="7"/>
  <c r="AJ10" i="7"/>
  <c r="AK11" i="7"/>
  <c r="AK9" i="7" l="1"/>
  <c r="AK8" i="7"/>
  <c r="AK10" i="7"/>
  <c r="AL11" i="7"/>
  <c r="AL9" i="7" l="1"/>
  <c r="AL8" i="7"/>
  <c r="AL10" i="7"/>
  <c r="F17" i="7" l="1"/>
  <c r="D18" i="7"/>
  <c r="F18" i="7"/>
  <c r="D20" i="7" s="1"/>
  <c r="F20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RAKOTOMAVO</author>
  </authors>
  <commentList>
    <comment ref="D12" authorId="0" shapeId="0" xr:uid="{B7D079DB-F3BF-4205-A2EF-94A5250B12ED}">
      <text>
        <r>
          <rPr>
            <b/>
            <sz val="8"/>
            <color indexed="81"/>
            <rFont val="Arial"/>
            <family val="2"/>
          </rPr>
          <t>Ne doit pas être une date de Weekend ou jour férié si cellule B9 = "Non"</t>
        </r>
      </text>
    </comment>
  </commentList>
</comments>
</file>

<file path=xl/sharedStrings.xml><?xml version="1.0" encoding="utf-8"?>
<sst xmlns="http://schemas.openxmlformats.org/spreadsheetml/2006/main" count="140" uniqueCount="93">
  <si>
    <t>Scope of Work</t>
  </si>
  <si>
    <t>Videoconferencing Solution Provisioning</t>
  </si>
  <si>
    <t>Informations</t>
  </si>
  <si>
    <t>Client</t>
  </si>
  <si>
    <t>Auteur / Contact</t>
  </si>
  <si>
    <t>Site(s) du client</t>
  </si>
  <si>
    <t>Description du projet</t>
  </si>
  <si>
    <t>Note importante</t>
  </si>
  <si>
    <t>Les tâches non mentionnées dans le tableau ci-dessous peuvent impacter la durée d’exécution du projet et seront considérées comme une nouvelle demande (et sujet à une nouvelle facturation).</t>
  </si>
  <si>
    <t>Répartion des tâches</t>
  </si>
  <si>
    <t>Phase</t>
  </si>
  <si>
    <t>Type</t>
  </si>
  <si>
    <t>Tâche</t>
  </si>
  <si>
    <t>Description</t>
  </si>
  <si>
    <t>Site(s) concerné(s)</t>
  </si>
  <si>
    <t>Difficulté</t>
  </si>
  <si>
    <t>Nb 
intervenants</t>
  </si>
  <si>
    <t>Durée</t>
  </si>
  <si>
    <t>Phase 1</t>
  </si>
  <si>
    <t>Préparation</t>
  </si>
  <si>
    <t>Gestion de projet</t>
  </si>
  <si>
    <t>Antananarivo</t>
  </si>
  <si>
    <t>Ing-1</t>
  </si>
  <si>
    <t>Livraision des equipements</t>
  </si>
  <si>
    <t>Ing-2</t>
  </si>
  <si>
    <t>Phase 2</t>
  </si>
  <si>
    <t>Implémentation</t>
  </si>
  <si>
    <t>Desinstallation</t>
  </si>
  <si>
    <t>Installation physique</t>
  </si>
  <si>
    <t>Configuration</t>
  </si>
  <si>
    <t>Test(s) de validation</t>
  </si>
  <si>
    <t>Phase 3</t>
  </si>
  <si>
    <t>Post_Implémentation</t>
  </si>
  <si>
    <t>Transfert de compétence</t>
  </si>
  <si>
    <t>Transfert de competence</t>
  </si>
  <si>
    <t>Rédaction livrable(s)</t>
  </si>
  <si>
    <t>Commentaire(s) :</t>
  </si>
  <si>
    <t>Récapitulatif</t>
  </si>
  <si>
    <t>Durée totale</t>
  </si>
  <si>
    <t>Total général</t>
  </si>
  <si>
    <t>Planning Théorique</t>
  </si>
  <si>
    <t>1ère semaine affichée</t>
  </si>
  <si>
    <t>Début projet</t>
  </si>
  <si>
    <t>Service pdt WE &amp; Jours féries</t>
  </si>
  <si>
    <t>Non</t>
  </si>
  <si>
    <t>Type Affichage</t>
  </si>
  <si>
    <t>Jour</t>
  </si>
  <si>
    <t>Affichage mois calendaire</t>
  </si>
  <si>
    <t>Oui</t>
  </si>
  <si>
    <t>Catégorie</t>
  </si>
  <si>
    <t>Début</t>
  </si>
  <si>
    <t>Fin</t>
  </si>
  <si>
    <t>Phase 1 : Implémentation</t>
  </si>
  <si>
    <t>Phase 2 : Implémentation</t>
  </si>
  <si>
    <t>Phase 3 : Post-Implémentation</t>
  </si>
  <si>
    <t>Post-Implémentation</t>
  </si>
  <si>
    <t>Week-End</t>
  </si>
  <si>
    <t>Jour férié</t>
  </si>
  <si>
    <t>Préparation / Conception</t>
  </si>
  <si>
    <t>Audit</t>
  </si>
  <si>
    <t>Jour de l'an</t>
  </si>
  <si>
    <t>Maintenance / Assistance</t>
  </si>
  <si>
    <t>Collecte d'information</t>
  </si>
  <si>
    <t>Journée Internationale de la femme</t>
  </si>
  <si>
    <t>Mise en place outil d'analyse</t>
  </si>
  <si>
    <t>Test</t>
  </si>
  <si>
    <t>Jour des Martyrs (insurrection de 1947)</t>
  </si>
  <si>
    <t>Analyse</t>
  </si>
  <si>
    <t>Aïd el-Fitr (Musulmans)</t>
  </si>
  <si>
    <t>Audit / Analyse</t>
  </si>
  <si>
    <t>Pâques</t>
  </si>
  <si>
    <t>Lab / Simulation</t>
  </si>
  <si>
    <t>Lundi de Pâques</t>
  </si>
  <si>
    <t>Formation</t>
  </si>
  <si>
    <t>Fête du travail</t>
  </si>
  <si>
    <t>Rédaction Livrable(s)</t>
  </si>
  <si>
    <t>Ascension</t>
  </si>
  <si>
    <t>Pentecôte</t>
  </si>
  <si>
    <t>Lundi de Pentecôte</t>
  </si>
  <si>
    <t>Fête de l'Independance</t>
  </si>
  <si>
    <t>Type de phase</t>
  </si>
  <si>
    <t>Assomption</t>
  </si>
  <si>
    <t>Toussaint</t>
  </si>
  <si>
    <t>Noël</t>
  </si>
  <si>
    <t>Helios Tower</t>
  </si>
  <si>
    <t>Solondrainy Aurélien ANTSARILALA | IT Engineer | aurelien@nexthope.net | +261 32 55 129 06</t>
  </si>
  <si>
    <t>Mise en place d’une solution de visioconférence complète, basée sur Microsoft Teams Rooms, visant à équiper des salles de réunion avec des systèmes performants et intégrés, afin d’assurer des communications à distance fiables, fluides et de haute qualité.</t>
  </si>
  <si>
    <t>Cab</t>
  </si>
  <si>
    <t>PRE-REQUIS:
 - réseau
         * Accès à Internet stable.
         * Adresse IP statique ou DHCP avec réservation.
         * Accès autorisé a quelques ports que nous mentionnerons ulterieurement.
- organisationnels
          * Accès physique à la salle de réunion pendant toute la durée de l’installation.
          * Présence d’un référent IT pour :
                  &gt; Configuration réseau / Internet
                  &gt; Connexion au tenant Microsoft 365 surtout pour le Microsoft Teams</t>
  </si>
  <si>
    <t>- Tests complets audio/vidéo
- Test de réunion Teams
- Tests scénarios multi-utilisateur
- Ajustement tracking des caméras</t>
  </si>
  <si>
    <t>Mise en place de gestion de projet
- Réunion de cadrage avec le client
- Analyse des besoins et contraintes techniques
- Validation de l’emplacement des équipements</t>
  </si>
  <si>
    <t>- Installation de 3, A30 (support, TV, câblage)
- Installation MVCS90 (caméra murale, MCore, MTouch, AVHub)
- Installation de CS10 et CM20 au plafon
- Branchement et organisation câbles HDMI et alimentation</t>
  </si>
  <si>
    <t>- Configuration de chaque A30 pour Microsoft Teams Rooms (connexion au compte Teams)
- Intégration du MVCS90 au tenant Microsoft 365 (Teams Room)
- Configuration du AVHub pour la gestion centralisée de l’audio et de la vidéo
- Intégration et paramétrage du MCore Pro afin d’assurer la réception, le traitement et la transmission des flux provenant de l’AVHub
- Paramétrage réseau de chaque équipements
- Activation du partage sans 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</si>
</sst>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General\ &quot; Jr(s)&quot;"/>
    <numFmt numFmtId="165" formatCode="0.0&quot; Jr(s)&quot;"/>
    <numFmt numFmtId="166" formatCode="d"/>
    <numFmt numFmtId="167" formatCode="[$-F800]dddd\,\ mmmm\ dd\,\ yyyy"/>
    <numFmt numFmtId="168" formatCode="0&quot; Jr(s)&quot;"/>
    <numFmt numFmtId="169" formatCode="General\ &quot;pers&quot;\."/>
  </numFmts>
  <fonts count="2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20"/>
      <color rgb="FFA41D66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u/>
      <sz val="10"/>
      <color rgb="FFA41D66"/>
      <name val="Arial"/>
      <family val="2"/>
    </font>
    <font>
      <b/>
      <sz val="8"/>
      <color theme="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8"/>
      <color rgb="FF444444"/>
      <name val="Arial"/>
      <family val="2"/>
    </font>
    <font>
      <b/>
      <sz val="8"/>
      <color rgb="FF444444"/>
      <name val="Arial"/>
      <family val="2"/>
    </font>
    <font>
      <b/>
      <sz val="10"/>
      <color theme="0"/>
      <name val="Arial"/>
      <family val="2"/>
    </font>
    <font>
      <b/>
      <sz val="8"/>
      <color indexed="81"/>
      <name val="Arial"/>
      <family val="2"/>
    </font>
    <font>
      <b/>
      <sz val="9"/>
      <name val="Arial"/>
      <family val="2"/>
    </font>
    <font>
      <b/>
      <sz val="12"/>
      <color theme="1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8"/>
      <color rgb="FFA41D66"/>
      <name val="Arial"/>
      <family val="2"/>
    </font>
    <font>
      <sz val="8"/>
      <color theme="1"/>
      <name val="Arial"/>
    </font>
    <font>
      <sz val="8"/>
      <color theme="0"/>
      <name val="Arial"/>
    </font>
    <font>
      <b/>
      <sz val="8"/>
      <color theme="0"/>
      <name val="Arial"/>
    </font>
  </fonts>
  <fills count="12">
    <fill>
      <patternFill patternType="none"/>
    </fill>
    <fill>
      <patternFill patternType="gray125"/>
    </fill>
    <fill>
      <patternFill patternType="solid">
        <fgColor rgb="FF643288"/>
        <bgColor indexed="64"/>
      </patternFill>
    </fill>
    <fill>
      <patternFill patternType="solid">
        <fgColor rgb="FFA41D66"/>
        <bgColor indexed="64"/>
      </patternFill>
    </fill>
    <fill>
      <patternFill patternType="solid">
        <fgColor theme="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CC5ED"/>
        <bgColor rgb="FF7030A0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rgb="FF643288"/>
      </left>
      <right/>
      <top/>
      <bottom/>
      <diagonal/>
    </border>
    <border>
      <left/>
      <right style="thin">
        <color rgb="FF643288"/>
      </right>
      <top/>
      <bottom/>
      <diagonal/>
    </border>
    <border>
      <left style="thin">
        <color rgb="FF643288"/>
      </left>
      <right/>
      <top/>
      <bottom style="thin">
        <color rgb="FF643288"/>
      </bottom>
      <diagonal/>
    </border>
    <border>
      <left/>
      <right/>
      <top/>
      <bottom style="thin">
        <color rgb="FF643288"/>
      </bottom>
      <diagonal/>
    </border>
    <border>
      <left/>
      <right style="thin">
        <color rgb="FF643288"/>
      </right>
      <top/>
      <bottom style="thin">
        <color rgb="FF643288"/>
      </bottom>
      <diagonal/>
    </border>
    <border>
      <left style="thin">
        <color rgb="FF643288"/>
      </left>
      <right style="thin">
        <color rgb="FF643288"/>
      </right>
      <top style="thin">
        <color rgb="FF643288"/>
      </top>
      <bottom style="thin">
        <color rgb="FF643288"/>
      </bottom>
      <diagonal/>
    </border>
    <border>
      <left style="thin">
        <color rgb="FF643288"/>
      </left>
      <right/>
      <top style="thin">
        <color rgb="FF643288"/>
      </top>
      <bottom style="thin">
        <color theme="0"/>
      </bottom>
      <diagonal/>
    </border>
    <border>
      <left/>
      <right/>
      <top style="thin">
        <color rgb="FF643288"/>
      </top>
      <bottom style="thin">
        <color theme="0"/>
      </bottom>
      <diagonal/>
    </border>
    <border>
      <left/>
      <right style="thin">
        <color rgb="FF643288"/>
      </right>
      <top style="thin">
        <color rgb="FF643288"/>
      </top>
      <bottom style="thin">
        <color theme="0"/>
      </bottom>
      <diagonal/>
    </border>
    <border>
      <left style="thin">
        <color rgb="FF643288"/>
      </left>
      <right/>
      <top style="thin">
        <color rgb="FF643288"/>
      </top>
      <bottom/>
      <diagonal/>
    </border>
    <border>
      <left/>
      <right/>
      <top style="thin">
        <color rgb="FF643288"/>
      </top>
      <bottom/>
      <diagonal/>
    </border>
    <border>
      <left/>
      <right style="thin">
        <color rgb="FF643288"/>
      </right>
      <top style="thin">
        <color rgb="FF643288"/>
      </top>
      <bottom/>
      <diagonal/>
    </border>
    <border>
      <left style="thin">
        <color rgb="FF643288"/>
      </left>
      <right style="thin">
        <color rgb="FF643288"/>
      </right>
      <top/>
      <bottom style="thin">
        <color rgb="FF643288"/>
      </bottom>
      <diagonal/>
    </border>
    <border>
      <left style="thin">
        <color rgb="FF643288"/>
      </left>
      <right style="thin">
        <color rgb="FF643288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rgb="FF643288"/>
      </left>
      <right/>
      <top/>
      <bottom style="thin">
        <color theme="0"/>
      </bottom>
      <diagonal/>
    </border>
    <border>
      <left/>
      <right style="thin">
        <color rgb="FF643288"/>
      </right>
      <top style="thin">
        <color rgb="FF643288"/>
      </top>
      <bottom style="thin">
        <color rgb="FF643288"/>
      </bottom>
      <diagonal/>
    </border>
    <border>
      <left style="thin">
        <color rgb="FF643288"/>
      </left>
      <right/>
      <top style="thin">
        <color rgb="FF643288"/>
      </top>
      <bottom style="thin">
        <color rgb="FF643288"/>
      </bottom>
      <diagonal/>
    </border>
    <border>
      <left/>
      <right/>
      <top style="thin">
        <color rgb="FF643288"/>
      </top>
      <bottom style="thin">
        <color rgb="FF643288"/>
      </bottom>
      <diagonal/>
    </border>
    <border>
      <left/>
      <right/>
      <top style="thin">
        <color indexed="64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3743705557422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/>
      <top/>
      <bottom style="hair">
        <color theme="0"/>
      </bottom>
      <diagonal/>
    </border>
  </borders>
  <cellStyleXfs count="5">
    <xf numFmtId="0" fontId="0" fillId="0" borderId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4" fillId="0" borderId="0"/>
    <xf numFmtId="14" fontId="12" fillId="0" borderId="0" applyFont="0" applyFill="0" applyBorder="0">
      <alignment horizontal="center" vertical="center"/>
    </xf>
  </cellStyleXfs>
  <cellXfs count="118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/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indent="2"/>
    </xf>
    <xf numFmtId="167" fontId="16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1" fillId="8" borderId="0" xfId="2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6" xfId="0" applyFont="1" applyFill="1" applyBorder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4" fontId="1" fillId="0" borderId="17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5" fontId="2" fillId="0" borderId="2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" fillId="10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1" fillId="2" borderId="16" xfId="0" applyFont="1" applyFill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166" fontId="1" fillId="5" borderId="25" xfId="0" applyNumberFormat="1" applyFont="1" applyFill="1" applyBorder="1" applyAlignment="1">
      <alignment horizontal="center" vertical="center"/>
    </xf>
    <xf numFmtId="0" fontId="2" fillId="11" borderId="26" xfId="0" applyFont="1" applyFill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19" fillId="0" borderId="0" xfId="1" applyFont="1" applyFill="1" applyAlignment="1">
      <alignment horizontal="left" vertical="center" wrapText="1"/>
    </xf>
    <xf numFmtId="0" fontId="19" fillId="0" borderId="0" xfId="1" applyFont="1" applyFill="1" applyAlignment="1">
      <alignment vertical="center" wrapText="1"/>
    </xf>
    <xf numFmtId="14" fontId="9" fillId="0" borderId="0" xfId="0" applyNumberFormat="1" applyFont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0" fontId="2" fillId="11" borderId="27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169" fontId="9" fillId="0" borderId="0" xfId="0" applyNumberFormat="1" applyFont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0" fontId="1" fillId="0" borderId="0" xfId="0" quotePrefix="1" applyFont="1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2" xfId="0" quotePrefix="1" applyFont="1" applyBorder="1" applyAlignment="1">
      <alignment vertical="center" wrapText="1"/>
    </xf>
    <xf numFmtId="165" fontId="22" fillId="0" borderId="1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7" fillId="2" borderId="11" xfId="0" applyFont="1" applyFill="1" applyBorder="1" applyAlignment="1">
      <alignment horizontal="left" vertical="center"/>
    </xf>
    <xf numFmtId="0" fontId="17" fillId="2" borderId="12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0" fontId="17" fillId="2" borderId="12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3" fillId="0" borderId="20" xfId="0" applyFont="1" applyBorder="1" applyAlignment="1">
      <alignment horizontal="left" vertical="center"/>
    </xf>
    <xf numFmtId="0" fontId="23" fillId="0" borderId="19" xfId="0" applyFont="1" applyBorder="1" applyAlignment="1">
      <alignment horizontal="left" vertical="center"/>
    </xf>
    <xf numFmtId="0" fontId="22" fillId="0" borderId="20" xfId="0" applyFont="1" applyBorder="1" applyAlignment="1">
      <alignment horizontal="left" vertical="center"/>
    </xf>
    <xf numFmtId="0" fontId="22" fillId="0" borderId="21" xfId="0" applyFont="1" applyBorder="1" applyAlignment="1">
      <alignment horizontal="left" vertical="center"/>
    </xf>
    <xf numFmtId="0" fontId="22" fillId="0" borderId="19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0" borderId="0" xfId="2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0" fillId="6" borderId="0" xfId="0" applyFont="1" applyFill="1" applyAlignment="1">
      <alignment horizontal="center" vertical="center"/>
    </xf>
    <xf numFmtId="0" fontId="7" fillId="0" borderId="0" xfId="1" applyFont="1" applyFill="1" applyAlignment="1">
      <alignment horizontal="left" vertical="center" wrapText="1"/>
    </xf>
    <xf numFmtId="0" fontId="25" fillId="3" borderId="2" xfId="0" applyFont="1" applyFill="1" applyBorder="1" applyAlignment="1">
      <alignment vertical="center"/>
    </xf>
    <xf numFmtId="0" fontId="26" fillId="3" borderId="0" xfId="0" applyFont="1" applyFill="1" applyBorder="1" applyAlignment="1">
      <alignment vertical="center"/>
    </xf>
    <xf numFmtId="0" fontId="25" fillId="3" borderId="3" xfId="0" applyFont="1" applyFill="1" applyBorder="1" applyAlignment="1">
      <alignment horizontal="center" vertical="center" wrapText="1"/>
    </xf>
    <xf numFmtId="0" fontId="24" fillId="0" borderId="2" xfId="0" applyFont="1" applyBorder="1"/>
    <xf numFmtId="0" fontId="24" fillId="0" borderId="15" xfId="0" applyNumberFormat="1" applyFont="1" applyBorder="1" applyAlignment="1">
      <alignment horizontal="center" vertical="center"/>
    </xf>
    <xf numFmtId="0" fontId="24" fillId="0" borderId="4" xfId="0" applyFont="1" applyFill="1" applyBorder="1" applyAlignment="1">
      <alignment vertical="center"/>
    </xf>
    <xf numFmtId="0" fontId="24" fillId="0" borderId="6" xfId="0" applyFont="1" applyFill="1" applyBorder="1" applyAlignment="1">
      <alignment vertical="center"/>
    </xf>
    <xf numFmtId="165" fontId="24" fillId="0" borderId="14" xfId="0" applyNumberFormat="1" applyFont="1" applyFill="1" applyBorder="1" applyAlignment="1">
      <alignment horizontal="center" vertical="center"/>
    </xf>
    <xf numFmtId="0" fontId="24" fillId="0" borderId="0" xfId="0" applyFont="1" applyBorder="1" applyAlignment="1">
      <alignment vertical="center" wrapText="1"/>
    </xf>
    <xf numFmtId="0" fontId="24" fillId="0" borderId="0" xfId="0" applyFont="1" applyBorder="1" applyAlignment="1">
      <alignment wrapText="1"/>
    </xf>
  </cellXfs>
  <cellStyles count="5">
    <cellStyle name="Accent3" xfId="2" builtinId="37"/>
    <cellStyle name="Date" xfId="4" xr:uid="{99FC90F6-B34B-4B27-ABC8-931A12FCDA02}"/>
    <cellStyle name="Normal" xfId="0" builtinId="0"/>
    <cellStyle name="Titre" xfId="1" builtinId="15"/>
    <cellStyle name="zTexteMasqué" xfId="3" xr:uid="{A391804F-6F24-4580-8CF3-5213C6C1029F}"/>
  </cellStyles>
  <dxfs count="2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0.0&quot; Jr(s)&quot;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0.0&quot; Jr(s)&quot;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mediumGray">
          <fgColor theme="0" tint="-0.24994659260841701"/>
        </patternFill>
      </fill>
    </dxf>
    <dxf>
      <fill>
        <patternFill patternType="mediumGray">
          <fgColor rgb="FF7030A0"/>
        </patternFill>
      </fill>
    </dxf>
    <dxf>
      <fill>
        <patternFill>
          <bgColor theme="0" tint="-0.14996795556505021"/>
        </patternFill>
      </fill>
    </dxf>
    <dxf>
      <fill>
        <patternFill>
          <bgColor rgb="FFEADCF4"/>
        </patternFill>
      </fill>
    </dxf>
    <dxf>
      <border>
        <left style="thin">
          <color theme="0"/>
        </left>
        <vertical/>
        <horizontal/>
      </border>
    </dxf>
    <dxf>
      <fill>
        <patternFill patternType="solid">
          <bgColor theme="0" tint="-0.34998626667073579"/>
        </patternFill>
      </fill>
      <border>
        <left style="thin">
          <color theme="0"/>
        </left>
      </border>
    </dxf>
    <dxf>
      <border>
        <left style="thin">
          <color theme="0"/>
        </left>
        <vertical/>
        <horizontal/>
      </border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border>
        <left style="thin">
          <color theme="0" tint="-0.14996795556505021"/>
        </left>
        <vertical/>
        <horizontal/>
      </border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border>
        <left style="thin">
          <color theme="0" tint="-0.14996795556505021"/>
        </left>
      </border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A41D66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rgb="FFA41D66"/>
        </patternFill>
      </fill>
    </dxf>
    <dxf>
      <fill>
        <patternFill patternType="solid">
          <bgColor rgb="FFA41D66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vertical style="thin">
          <color theme="0"/>
        </vertical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border>
        <right style="thin">
          <color rgb="FF643288"/>
        </right>
      </border>
    </dxf>
    <dxf>
      <border>
        <right style="thin">
          <color rgb="FF643288"/>
        </right>
      </border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font>
        <b/>
      </font>
    </dxf>
    <dxf>
      <font>
        <b/>
        <color theme="0"/>
      </font>
      <fill>
        <patternFill patternType="solid">
          <fgColor indexed="64"/>
          <bgColor rgb="FFA41D66"/>
        </patternFill>
      </fill>
      <alignment vertical="center"/>
    </dxf>
    <dxf>
      <alignment wrapText="1"/>
    </dxf>
    <dxf>
      <alignment horizontal="center"/>
    </dxf>
    <dxf>
      <numFmt numFmtId="165" formatCode="0.0&quot; Jr(s)&quot;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wrapText="1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rgb="FFA41D66"/>
        </patternFill>
      </fill>
    </dxf>
    <dxf>
      <fill>
        <patternFill patternType="solid">
          <bgColor rgb="FFA41D66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vertical style="thin">
          <color theme="0"/>
        </vertical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border>
        <right style="thin">
          <color rgb="FF643288"/>
        </right>
      </border>
    </dxf>
    <dxf>
      <border>
        <right style="thin">
          <color rgb="FF643288"/>
        </right>
      </border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font>
        <b/>
      </font>
    </dxf>
    <dxf>
      <font>
        <b/>
        <color theme="0"/>
      </font>
      <fill>
        <patternFill patternType="solid">
          <fgColor indexed="64"/>
          <bgColor rgb="FFA41D66"/>
        </patternFill>
      </fill>
      <alignment vertical="center"/>
    </dxf>
    <dxf>
      <alignment wrapText="1"/>
    </dxf>
    <dxf>
      <alignment horizontal="center"/>
    </dxf>
    <dxf>
      <numFmt numFmtId="165" formatCode="0.0&quot; Jr(s)&quot;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wrapText="1"/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44444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/>
      </font>
      <alignment horizontal="left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</font>
      <fill>
        <patternFill patternType="none">
          <bgColor auto="1"/>
        </patternFill>
      </fill>
      <alignment vertical="center" textRotation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 val="0"/>
        <family val="2"/>
      </font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relativeIndent="-1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&quot; Jr(s)&quot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9" formatCode="General\ &quot;pers&quot;\.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wrapText="1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5" formatCode="0.0&quot; Jr(s)&quot;"/>
    </dxf>
    <dxf>
      <alignment horizontal="center"/>
    </dxf>
    <dxf>
      <alignment wrapText="1"/>
    </dxf>
    <dxf>
      <font>
        <b/>
        <color theme="0"/>
      </font>
      <fill>
        <patternFill patternType="solid">
          <fgColor indexed="64"/>
          <bgColor rgb="FFA41D66"/>
        </patternFill>
      </fill>
      <alignment vertical="center"/>
    </dxf>
    <dxf>
      <font>
        <b/>
      </font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border>
        <right style="thin">
          <color rgb="FF643288"/>
        </right>
      </border>
    </dxf>
    <dxf>
      <border>
        <right style="thin">
          <color rgb="FF643288"/>
        </right>
      </border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border>
        <bottom style="thin">
          <color theme="0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vertical style="thin">
          <color theme="0"/>
        </vertical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ill>
        <patternFill patternType="solid">
          <bgColor rgb="FFA41D66"/>
        </patternFill>
      </fill>
    </dxf>
    <dxf>
      <fill>
        <patternFill patternType="solid">
          <bgColor rgb="FFA41D6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color theme="1"/>
      </font>
      <border>
        <bottom style="thin">
          <color theme="1"/>
        </bottom>
      </border>
    </dxf>
    <dxf>
      <font>
        <color theme="1"/>
      </font>
      <border>
        <top style="thin">
          <color theme="1"/>
        </top>
        <bottom style="thin">
          <color theme="1"/>
        </bottom>
      </border>
    </dxf>
    <dxf>
      <border>
        <top/>
        <bottom/>
      </border>
    </dxf>
    <dxf>
      <fill>
        <patternFill>
          <bgColor theme="0" tint="-4.9989318521683403E-2"/>
        </patternFill>
      </fill>
      <border>
        <top/>
        <bottom/>
      </border>
    </dxf>
    <dxf>
      <border>
        <top/>
      </border>
    </dxf>
    <dxf>
      <font>
        <b/>
        <i val="0"/>
        <color theme="0"/>
      </font>
      <fill>
        <patternFill>
          <fgColor auto="1"/>
          <bgColor rgb="FFA41D66"/>
        </patternFill>
      </fill>
      <border>
        <left/>
        <right/>
        <top style="thin">
          <color theme="0"/>
        </top>
        <bottom/>
        <vertical/>
        <horizontal/>
      </border>
    </dxf>
    <dxf>
      <border>
        <top style="thin">
          <color theme="0"/>
        </top>
        <bottom style="thin">
          <color theme="0"/>
        </bottom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</dxf>
    <dxf>
      <font>
        <b val="0"/>
        <i val="0"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theme="4"/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ListeDesTâches" pivot="0" count="9" xr9:uid="{1E032137-4FE3-4315-BD4D-B482D2F0822F}">
      <tableStyleElement type="wholeTable" dxfId="275"/>
      <tableStyleElement type="headerRow" dxfId="274"/>
      <tableStyleElement type="totalRow" dxfId="273"/>
      <tableStyleElement type="firstColumn" dxfId="272"/>
      <tableStyleElement type="lastColumn" dxfId="271"/>
      <tableStyleElement type="firstRowStripe" dxfId="270"/>
      <tableStyleElement type="secondRowStripe" dxfId="269"/>
      <tableStyleElement type="firstColumnStripe" dxfId="268"/>
      <tableStyleElement type="secondColumnStripe" dxfId="267"/>
    </tableStyle>
    <tableStyle name="Style de tableau 1" pivot="0" count="5" xr9:uid="{00000000-0011-0000-FFFF-FFFF00000000}">
      <tableStyleElement type="wholeTable" dxfId="266"/>
      <tableStyleElement type="headerRow" dxfId="265"/>
      <tableStyleElement type="totalRow" dxfId="264"/>
      <tableStyleElement type="firstRowStripe" dxfId="263"/>
      <tableStyleElement type="secondRowStripe" dxfId="262"/>
    </tableStyle>
    <tableStyle name="TableStyleLight1 2" pivot="0" count="7" xr9:uid="{00000000-0011-0000-FFFF-FFFF01000000}">
      <tableStyleElement type="wholeTable" dxfId="261"/>
      <tableStyleElement type="headerRow" dxfId="260"/>
      <tableStyleElement type="totalRow" dxfId="259"/>
      <tableStyleElement type="firstColumn" dxfId="258"/>
      <tableStyleElement type="lastColumn" dxfId="257"/>
      <tableStyleElement type="firstRowStripe" dxfId="256"/>
      <tableStyleElement type="firstColumnStripe" dxfId="255"/>
    </tableStyle>
  </tableStyles>
  <colors>
    <mruColors>
      <color rgb="FFF5F5F5"/>
      <color rgb="FFF2F2F2"/>
      <color rgb="FFDCC5ED"/>
      <color rgb="FFE6E6E6"/>
      <color rgb="FFF0F0F0"/>
      <color rgb="FFECDFF5"/>
      <color rgb="FFEADCF4"/>
      <color rgb="FFECECEC"/>
      <color rgb="FF7030A0"/>
      <color rgb="FFFF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trlProps/ctrlProp1.xml><?xml version="1.0" encoding="utf-8"?>
<formControlPr xmlns="http://schemas.microsoft.com/office/spreadsheetml/2009/9/main" objectType="Scroll" dx="31" fmlaLink="$C$7" horiz="1" max="46" page="0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156306</xdr:colOff>
      <xdr:row>0</xdr:row>
      <xdr:rowOff>103898</xdr:rowOff>
    </xdr:from>
    <xdr:to>
      <xdr:col>2</xdr:col>
      <xdr:colOff>628650</xdr:colOff>
      <xdr:row>5</xdr:row>
      <xdr:rowOff>44450</xdr:rowOff>
    </xdr:to>
    <xdr:pic>
      <xdr:nvPicPr>
        <xdr:cNvPr id="2" name="Image 1" descr="NextHope_Logo.png">
          <a:extLst>
            <a:ext uri="{FF2B5EF4-FFF2-40B4-BE49-F238E27FC236}">
              <a16:creationId xmlns:a16="http://schemas.microsoft.com/office/drawing/2014/main" id="{CD463051-F5B0-4B40-A4B6-CEBCB9449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406" y="103898"/>
          <a:ext cx="1456594" cy="5755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</xdr:row>
          <xdr:rowOff>65837</xdr:rowOff>
        </xdr:from>
        <xdr:to>
          <xdr:col>37</xdr:col>
          <xdr:colOff>219456</xdr:colOff>
          <xdr:row>5</xdr:row>
          <xdr:rowOff>204826</xdr:rowOff>
        </xdr:to>
        <xdr:sp macro="" textlink="">
          <xdr:nvSpPr>
            <xdr:cNvPr id="5163" name="Scroll Bar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100-00002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4527</xdr:colOff>
      <xdr:row>12</xdr:row>
      <xdr:rowOff>146303</xdr:rowOff>
    </xdr:from>
    <xdr:to>
      <xdr:col>8</xdr:col>
      <xdr:colOff>4528</xdr:colOff>
      <xdr:row>13</xdr:row>
      <xdr:rowOff>190194</xdr:rowOff>
    </xdr:to>
    <xdr:sp macro="" textlink="">
      <xdr:nvSpPr>
        <xdr:cNvPr id="2" name="Triangle rectangle 1">
          <a:extLst>
            <a:ext uri="{FF2B5EF4-FFF2-40B4-BE49-F238E27FC236}">
              <a16:creationId xmlns:a16="http://schemas.microsoft.com/office/drawing/2014/main" id="{5A291B7C-BEF7-8DBA-CFDB-40FE934C3349}"/>
            </a:ext>
          </a:extLst>
        </xdr:cNvPr>
        <xdr:cNvSpPr/>
      </xdr:nvSpPr>
      <xdr:spPr>
        <a:xfrm rot="10800000">
          <a:off x="7309277" y="1989037"/>
          <a:ext cx="247324" cy="190195"/>
        </a:xfrm>
        <a:prstGeom prst="rtTriangle">
          <a:avLst/>
        </a:prstGeom>
        <a:solidFill>
          <a:schemeClr val="bg1"/>
        </a:solidFill>
        <a:ln w="63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244012</xdr:colOff>
      <xdr:row>15</xdr:row>
      <xdr:rowOff>6966</xdr:rowOff>
    </xdr:from>
    <xdr:to>
      <xdr:col>7</xdr:col>
      <xdr:colOff>244012</xdr:colOff>
      <xdr:row>15</xdr:row>
      <xdr:rowOff>173998</xdr:rowOff>
    </xdr:to>
    <xdr:sp macro="" textlink="">
      <xdr:nvSpPr>
        <xdr:cNvPr id="4" name="Triangle rectangle 3">
          <a:extLst>
            <a:ext uri="{FF2B5EF4-FFF2-40B4-BE49-F238E27FC236}">
              <a16:creationId xmlns:a16="http://schemas.microsoft.com/office/drawing/2014/main" id="{BC018592-FA8B-4C6B-AEED-1B344411E58D}"/>
            </a:ext>
          </a:extLst>
        </xdr:cNvPr>
        <xdr:cNvSpPr/>
      </xdr:nvSpPr>
      <xdr:spPr>
        <a:xfrm>
          <a:off x="7301438" y="2319963"/>
          <a:ext cx="247324" cy="167032"/>
        </a:xfrm>
        <a:prstGeom prst="rtTriangle">
          <a:avLst/>
        </a:prstGeom>
        <a:solidFill>
          <a:schemeClr val="bg1"/>
        </a:solidFill>
        <a:ln w="63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246626</xdr:colOff>
      <xdr:row>16</xdr:row>
      <xdr:rowOff>3483</xdr:rowOff>
    </xdr:from>
    <xdr:to>
      <xdr:col>7</xdr:col>
      <xdr:colOff>240355</xdr:colOff>
      <xdr:row>16</xdr:row>
      <xdr:rowOff>194023</xdr:rowOff>
    </xdr:to>
    <xdr:sp macro="" textlink="">
      <xdr:nvSpPr>
        <xdr:cNvPr id="5" name="Triangle rectangle 4">
          <a:extLst>
            <a:ext uri="{FF2B5EF4-FFF2-40B4-BE49-F238E27FC236}">
              <a16:creationId xmlns:a16="http://schemas.microsoft.com/office/drawing/2014/main" id="{35B1438F-CD35-4EF7-A405-EC4C25EAF069}"/>
            </a:ext>
          </a:extLst>
        </xdr:cNvPr>
        <xdr:cNvSpPr/>
      </xdr:nvSpPr>
      <xdr:spPr>
        <a:xfrm>
          <a:off x="7304052" y="2490651"/>
          <a:ext cx="241053" cy="190540"/>
        </a:xfrm>
        <a:prstGeom prst="rtTriangle">
          <a:avLst/>
        </a:prstGeom>
        <a:solidFill>
          <a:schemeClr val="bg1"/>
        </a:solidFill>
        <a:ln w="63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6960</xdr:colOff>
      <xdr:row>17</xdr:row>
      <xdr:rowOff>3483</xdr:rowOff>
    </xdr:from>
    <xdr:to>
      <xdr:col>10</xdr:col>
      <xdr:colOff>10448</xdr:colOff>
      <xdr:row>18</xdr:row>
      <xdr:rowOff>3478</xdr:rowOff>
    </xdr:to>
    <xdr:sp macro="" textlink="">
      <xdr:nvSpPr>
        <xdr:cNvPr id="6" name="Triangle rectangle 5">
          <a:extLst>
            <a:ext uri="{FF2B5EF4-FFF2-40B4-BE49-F238E27FC236}">
              <a16:creationId xmlns:a16="http://schemas.microsoft.com/office/drawing/2014/main" id="{7BF2D987-A2F5-4147-B0A5-9599A48A19CE}"/>
            </a:ext>
          </a:extLst>
        </xdr:cNvPr>
        <xdr:cNvSpPr/>
      </xdr:nvSpPr>
      <xdr:spPr>
        <a:xfrm rot="10800000">
          <a:off x="7806357" y="2689206"/>
          <a:ext cx="250811" cy="198551"/>
        </a:xfrm>
        <a:prstGeom prst="rtTriangle">
          <a:avLst/>
        </a:prstGeom>
        <a:solidFill>
          <a:schemeClr val="bg1"/>
        </a:solidFill>
        <a:ln w="63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243840</xdr:colOff>
      <xdr:row>19</xdr:row>
      <xdr:rowOff>3483</xdr:rowOff>
    </xdr:from>
    <xdr:to>
      <xdr:col>9</xdr:col>
      <xdr:colOff>243840</xdr:colOff>
      <xdr:row>19</xdr:row>
      <xdr:rowOff>131490</xdr:rowOff>
    </xdr:to>
    <xdr:sp macro="" textlink="">
      <xdr:nvSpPr>
        <xdr:cNvPr id="7" name="Triangle rectangle 6">
          <a:extLst>
            <a:ext uri="{FF2B5EF4-FFF2-40B4-BE49-F238E27FC236}">
              <a16:creationId xmlns:a16="http://schemas.microsoft.com/office/drawing/2014/main" id="{1A6D8F34-0C8F-4D9B-A520-369CC4EFDC1F}"/>
            </a:ext>
          </a:extLst>
        </xdr:cNvPr>
        <xdr:cNvSpPr/>
      </xdr:nvSpPr>
      <xdr:spPr>
        <a:xfrm>
          <a:off x="7795913" y="3020132"/>
          <a:ext cx="247324" cy="128007"/>
        </a:xfrm>
        <a:prstGeom prst="rtTriangle">
          <a:avLst/>
        </a:prstGeom>
        <a:solidFill>
          <a:schemeClr val="bg1"/>
        </a:solidFill>
        <a:ln w="63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londrainy Aurélien ANTSARILALA" refreshedDate="45995.503309837964" createdVersion="7" refreshedVersion="8" minRefreshableVersion="3" recordCount="5" xr:uid="{324B5C22-48F7-40A7-90D0-669A8B1DD383}">
  <cacheSource type="worksheet">
    <worksheetSource name="Tableau3"/>
  </cacheSource>
  <cacheFields count="8">
    <cacheField name="Phase" numFmtId="0">
      <sharedItems containsBlank="1" count="9">
        <s v="Phase 1"/>
        <s v="Phase 2"/>
        <s v="Phase 3"/>
        <m u="1"/>
        <s v="Préparation" u="1"/>
        <s v="Implémentation" u="1"/>
        <s v="Post_Implémentation" u="1"/>
        <s v="Post-Implémentation" u="1"/>
        <s v="Post-Implémnetation" u="1"/>
      </sharedItems>
    </cacheField>
    <cacheField name="Type" numFmtId="0">
      <sharedItems containsBlank="1" count="5">
        <s v="Préparation"/>
        <s v="Implémentation"/>
        <s v="Post_Implémentation"/>
        <m u="1"/>
        <s v="Audit" u="1"/>
      </sharedItems>
    </cacheField>
    <cacheField name="Tâche" numFmtId="0">
      <sharedItems containsBlank="1" count="14">
        <s v="Gestion de projet"/>
        <s v="Installation physique"/>
        <s v="Configuration"/>
        <s v="Test(s) de validation"/>
        <s v="Transfert de compétence"/>
        <s v="Rédaction livrable(s)" u="1"/>
        <s v="Livraision des equipements" u="1"/>
        <s v="Desinstallation" u="1"/>
        <s v="Collecte d'information" u="1"/>
        <m u="1"/>
        <s v="Préparation" u="1"/>
        <s v="Analyse" u="1"/>
        <s v="Test" u="1"/>
        <s v="Lab / Simulation" u="1"/>
      </sharedItems>
    </cacheField>
    <cacheField name="Description" numFmtId="0">
      <sharedItems longText="1"/>
    </cacheField>
    <cacheField name="Site(s) concerné(s)" numFmtId="0">
      <sharedItems/>
    </cacheField>
    <cacheField name="Difficulté" numFmtId="0">
      <sharedItems/>
    </cacheField>
    <cacheField name="Nb _x000a_intervenants" numFmtId="169">
      <sharedItems containsSemiMixedTypes="0" containsString="0" containsNumber="1" containsInteger="1" minValue="1" maxValue="2"/>
    </cacheField>
    <cacheField name="Durée" numFmtId="165">
      <sharedItems containsSemiMixedTypes="0" containsString="0" containsNumber="1" minValue="0.5" maxValue="2.5"/>
    </cacheField>
  </cacheFields>
  <extLst>
    <ext xmlns:x14="http://schemas.microsoft.com/office/spreadsheetml/2009/9/main" uri="{725AE2AE-9491-48be-B2B4-4EB974FC3084}">
      <x14:pivotCacheDefinition pivotCacheId="21355783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s v="Mise en place de gestion de projet_x000a_- Réunion de cadrage avec le client_x000a_- Analyse des besoins et contraintes techniques_x000a_- Validation de l’emplacement des équipements_x000a_- Vérification des prérequis réseau et électricité"/>
    <s v="Antananarivo"/>
    <s v="Ing-1"/>
    <n v="1"/>
    <n v="0.5"/>
  </r>
  <r>
    <x v="1"/>
    <x v="1"/>
    <x v="1"/>
    <s v="- Installation de 3, A20 (support, TV, câblage)_x000a_- Installation MVCS90 (caméra murale, MCore, MTouch, micros, HP)_x000a_- Branchement et organisation câbles HDMI et alimentation"/>
    <s v="Antananarivo"/>
    <s v="Cab"/>
    <n v="2"/>
    <n v="1"/>
  </r>
  <r>
    <x v="1"/>
    <x v="1"/>
    <x v="2"/>
    <s v="- Configuration de chaque A20 pour Microsoft Teams Rooms (connexion au compte Teams)_x000a_- Intégration du MVCS90 au tenant Microsoft 365 (Teams Room)_x000a_- Paramétrage MCore Pro, UVC86, MTouch, VCM/Mspeaker_x000a_- Configuration réseau et nommage des devices dans Teams Admin Center_x000a_- Appairage du CTP18 avec les A20_x000a_- Activation du partage sans fil via WPP30"/>
    <s v="Antananarivo"/>
    <s v="Ing-2"/>
    <n v="1"/>
    <n v="2.5"/>
  </r>
  <r>
    <x v="1"/>
    <x v="1"/>
    <x v="3"/>
    <s v="- Tests complets audio/vidéo_x000a_- Test de réunion Teams_x000a_- Partage écran via WPP30_x000a_- Tests scénarios multi-utilisateur_x000a_- Ajustement tracking caméra UVC86"/>
    <s v="Antananarivo"/>
    <s v="Ing-2"/>
    <n v="1"/>
    <n v="0.5"/>
  </r>
  <r>
    <x v="2"/>
    <x v="2"/>
    <x v="4"/>
    <s v="Transfert de competence"/>
    <s v="Antananarivo"/>
    <s v="Ing-2"/>
    <n v="1"/>
    <n v="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0E3A9-3C5A-446F-BEF9-7358CE5F94EE}" name="Tableau croisé dynamique1" cacheId="12" applyNumberFormats="0" applyBorderFormats="0" applyFontFormats="0" applyPatternFormats="0" applyAlignmentFormats="0" applyWidthHeightFormats="1" dataCaption="Valeurs" updatedVersion="8" minRefreshableVersion="3" showDrill="0" useAutoFormatting="1" itemPrintTitles="1" createdVersion="7" indent="0" compact="0" compactData="0" multipleFieldFilters="0" chartFormat="1">
  <location ref="B31:D37" firstHeaderRow="1" firstDataRow="1" firstDataCol="2"/>
  <pivotFields count="8">
    <pivotField axis="axisRow" compact="0" outline="0" showAll="0" sortType="ascending" defaultSubtotal="0">
      <items count="9">
        <item m="1" x="5"/>
        <item x="0"/>
        <item x="1"/>
        <item x="2"/>
        <item m="1" x="6"/>
        <item m="1" x="7"/>
        <item m="1" x="8"/>
        <item m="1" x="4"/>
        <item h="1" m="1" x="3"/>
      </items>
    </pivotField>
    <pivotField compact="0" outline="0" subtotalTop="0" showAll="0" sortType="descending" defaultSubtotal="0">
      <items count="5">
        <item m="1" x="3"/>
        <item x="0"/>
        <item x="2"/>
        <item x="1"/>
        <item m="1" x="4"/>
      </items>
    </pivotField>
    <pivotField axis="axisRow" compact="0" outline="0" showAll="0" defaultSubtotal="0">
      <items count="14">
        <item m="1" x="8"/>
        <item x="2"/>
        <item x="1"/>
        <item m="1" x="13"/>
        <item m="1" x="5"/>
        <item x="3"/>
        <item x="4"/>
        <item m="1" x="9"/>
        <item m="1" x="10"/>
        <item m="1" x="11"/>
        <item m="1" x="12"/>
        <item x="0"/>
        <item m="1" x="6"/>
        <item m="1" x="7"/>
      </items>
    </pivotField>
    <pivotField compact="0" outline="0" showAll="0" defaultSubtotal="0"/>
    <pivotField compact="0" outline="0" subtotalTop="0" showAll="0" defaultSubtotal="0"/>
    <pivotField compact="0" outline="0" showAll="0" defaultSubtotal="0"/>
    <pivotField compact="0" numFmtId="169" outline="0" subtotalTop="0" showAll="0" defaultSubtotal="0"/>
    <pivotField dataField="1" compact="0" numFmtId="164" outline="0" showAll="0" defaultSubtotal="0"/>
  </pivotFields>
  <rowFields count="2">
    <field x="0"/>
    <field x="2"/>
  </rowFields>
  <rowItems count="6">
    <i>
      <x v="1"/>
      <x v="11"/>
    </i>
    <i>
      <x v="2"/>
      <x v="1"/>
    </i>
    <i r="1">
      <x v="2"/>
    </i>
    <i r="1">
      <x v="5"/>
    </i>
    <i>
      <x v="3"/>
      <x v="6"/>
    </i>
    <i t="grand">
      <x/>
    </i>
  </rowItems>
  <colItems count="1">
    <i/>
  </colItems>
  <dataFields count="1">
    <dataField name="Durée totale" fld="7" baseField="0" baseItem="0"/>
  </dataFields>
  <formats count="59">
    <format dxfId="254">
      <pivotArea type="all" dataOnly="0" outline="0" fieldPosition="0"/>
    </format>
    <format dxfId="253">
      <pivotArea outline="0" collapsedLevelsAreSubtotals="1" fieldPosition="0"/>
    </format>
    <format dxfId="252">
      <pivotArea field="0" type="button" dataOnly="0" labelOnly="1" outline="0" axis="axisRow" fieldPosition="0"/>
    </format>
    <format dxfId="251">
      <pivotArea dataOnly="0" labelOnly="1" grandRow="1" outline="0" fieldPosition="0"/>
    </format>
    <format dxfId="2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9">
      <pivotArea type="all" dataOnly="0" outline="0" fieldPosition="0"/>
    </format>
    <format dxfId="248">
      <pivotArea outline="0" collapsedLevelsAreSubtotals="1" fieldPosition="0"/>
    </format>
    <format dxfId="247">
      <pivotArea field="0" type="button" dataOnly="0" labelOnly="1" outline="0" axis="axisRow" fieldPosition="0"/>
    </format>
    <format dxfId="246">
      <pivotArea dataOnly="0" labelOnly="1" grandRow="1" outline="0" fieldPosition="0"/>
    </format>
    <format dxfId="24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4">
      <pivotArea outline="0" collapsedLevelsAreSubtotals="1" fieldPosition="0"/>
    </format>
    <format dxfId="2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2">
      <pivotArea outline="0" collapsedLevelsAreSubtotals="1" fieldPosition="0"/>
    </format>
    <format dxfId="2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0">
      <pivotArea field="0" type="button" dataOnly="0" labelOnly="1" outline="0" axis="axisRow" fieldPosition="0"/>
    </format>
    <format dxfId="2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8">
      <pivotArea field="0" type="button" dataOnly="0" labelOnly="1" outline="0" axis="axisRow" fieldPosition="0"/>
    </format>
    <format dxfId="2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6">
      <pivotArea field="0" type="button" dataOnly="0" labelOnly="1" outline="0" axis="axisRow" fieldPosition="0"/>
    </format>
    <format dxfId="23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4">
      <pivotArea grandRow="1" outline="0" collapsedLevelsAreSubtotals="1" fieldPosition="0"/>
    </format>
    <format dxfId="233">
      <pivotArea dataOnly="0" labelOnly="1" grandRow="1" outline="0" fieldPosition="0"/>
    </format>
    <format dxfId="232">
      <pivotArea type="all" dataOnly="0" outline="0" fieldPosition="0"/>
    </format>
    <format dxfId="231">
      <pivotArea outline="0" collapsedLevelsAreSubtotals="1" fieldPosition="0"/>
    </format>
    <format dxfId="230">
      <pivotArea field="0" type="button" dataOnly="0" labelOnly="1" outline="0" axis="axisRow" fieldPosition="0"/>
    </format>
    <format dxfId="229">
      <pivotArea dataOnly="0" labelOnly="1" grandRow="1" outline="0" fieldPosition="0"/>
    </format>
    <format dxfId="2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7">
      <pivotArea grandRow="1" outline="0" collapsedLevelsAreSubtotals="1" fieldPosition="0"/>
    </format>
    <format dxfId="226">
      <pivotArea dataOnly="0" labelOnly="1" grandRow="1" outline="0" fieldPosition="0"/>
    </format>
    <format dxfId="225">
      <pivotArea dataOnly="0" labelOnly="1" grandRow="1" outline="0" offset="IV256" fieldPosition="0"/>
    </format>
    <format dxfId="224">
      <pivotArea field="0" type="button" dataOnly="0" labelOnly="1" outline="0" axis="axisRow" fieldPosition="0"/>
    </format>
    <format dxfId="223">
      <pivotArea type="all" dataOnly="0" outline="0" fieldPosition="0"/>
    </format>
    <format dxfId="222">
      <pivotArea outline="0" collapsedLevelsAreSubtotals="1" fieldPosition="0"/>
    </format>
    <format dxfId="221">
      <pivotArea dataOnly="0" labelOnly="1" grandRow="1" outline="0" fieldPosition="0"/>
    </format>
    <format dxfId="2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8">
      <pivotArea dataOnly="0" labelOnly="1" outline="0" axis="axisValues" fieldPosition="0"/>
    </format>
    <format dxfId="217">
      <pivotArea outline="0" collapsedLevelsAreSubtotals="1" fieldPosition="0"/>
    </format>
    <format dxfId="216">
      <pivotArea dataOnly="0" labelOnly="1" outline="0" axis="axisValues" fieldPosition="0"/>
    </format>
    <format dxfId="215">
      <pivotArea field="2" type="button" dataOnly="0" labelOnly="1" outline="0" axis="axisRow" fieldPosition="1"/>
    </format>
    <format dxfId="214">
      <pivotArea field="2" type="button" dataOnly="0" labelOnly="1" outline="0" axis="axisRow" fieldPosition="1"/>
    </format>
    <format dxfId="213">
      <pivotArea field="1" type="button" dataOnly="0" labelOnly="1" outline="0"/>
    </format>
    <format dxfId="212">
      <pivotArea dataOnly="0" labelOnly="1" outline="0" axis="axisValues" fieldPosition="0"/>
    </format>
    <format dxfId="211">
      <pivotArea dataOnly="0" labelOnly="1" outline="0" axis="axisValues" fieldPosition="0"/>
    </format>
    <format dxfId="210">
      <pivotArea grandRow="1" outline="0" collapsedLevelsAreSubtotals="1" fieldPosition="0"/>
    </format>
    <format dxfId="209">
      <pivotArea type="all" dataOnly="0" outline="0" fieldPosition="0"/>
    </format>
    <format dxfId="208">
      <pivotArea outline="0" collapsedLevelsAreSubtotals="1" fieldPosition="0"/>
    </format>
    <format dxfId="207">
      <pivotArea field="0" type="button" dataOnly="0" labelOnly="1" outline="0" axis="axisRow" fieldPosition="0"/>
    </format>
    <format dxfId="206">
      <pivotArea field="2" type="button" dataOnly="0" labelOnly="1" outline="0" axis="axisRow" fieldPosition="1"/>
    </format>
    <format dxfId="205">
      <pivotArea dataOnly="0" labelOnly="1" outline="0" fieldPosition="0">
        <references count="1">
          <reference field="0" count="0"/>
        </references>
      </pivotArea>
    </format>
    <format dxfId="204">
      <pivotArea dataOnly="0" labelOnly="1" grandRow="1" outline="0" fieldPosition="0"/>
    </format>
    <format dxfId="203">
      <pivotArea dataOnly="0" labelOnly="1" outline="0" fieldPosition="0">
        <references count="2">
          <reference field="0" count="1" selected="0">
            <x v="1"/>
          </reference>
          <reference field="2" count="3">
            <x v="0"/>
            <x v="4"/>
            <x v="11"/>
          </reference>
        </references>
      </pivotArea>
    </format>
    <format dxfId="202">
      <pivotArea dataOnly="0" labelOnly="1" outline="0" fieldPosition="0">
        <references count="2">
          <reference field="0" count="1" selected="0">
            <x v="2"/>
          </reference>
          <reference field="2" count="2">
            <x v="1"/>
            <x v="2"/>
          </reference>
        </references>
      </pivotArea>
    </format>
    <format dxfId="201">
      <pivotArea dataOnly="0" labelOnly="1" outline="0" fieldPosition="0">
        <references count="2">
          <reference field="0" count="1" selected="0">
            <x v="3"/>
          </reference>
          <reference field="2" count="2">
            <x v="4"/>
            <x v="6"/>
          </reference>
        </references>
      </pivotArea>
    </format>
    <format dxfId="200">
      <pivotArea dataOnly="0" labelOnly="1" outline="0" axis="axisValues" fieldPosition="0"/>
    </format>
    <format dxfId="199">
      <pivotArea dataOnly="0" labelOnly="1" outline="0" fieldPosition="0">
        <references count="2">
          <reference field="0" count="1" selected="0">
            <x v="1"/>
          </reference>
          <reference field="2" count="3">
            <x v="0"/>
            <x v="4"/>
            <x v="11"/>
          </reference>
        </references>
      </pivotArea>
    </format>
    <format dxfId="198">
      <pivotArea dataOnly="0" labelOnly="1" outline="0" fieldPosition="0">
        <references count="2">
          <reference field="0" count="1" selected="0">
            <x v="2"/>
          </reference>
          <reference field="2" count="2">
            <x v="1"/>
            <x v="2"/>
          </reference>
        </references>
      </pivotArea>
    </format>
    <format dxfId="197">
      <pivotArea dataOnly="0" labelOnly="1" outline="0" fieldPosition="0">
        <references count="2">
          <reference field="0" count="1" selected="0">
            <x v="3"/>
          </reference>
          <reference field="2" count="2">
            <x v="4"/>
            <x v="6"/>
          </reference>
        </references>
      </pivotArea>
    </format>
    <format dxfId="196">
      <pivotArea dataOnly="0" labelOnly="1" outline="0" fieldPosition="0">
        <references count="1">
          <reference field="2" count="0"/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31EE19-AA5A-47A5-9DF3-85876091A1E1}" name="Tableau3" displayName="Tableau3" ref="B19:I24" headerRowDxfId="195" tableBorderDxfId="194">
  <sortState xmlns:xlrd2="http://schemas.microsoft.com/office/spreadsheetml/2017/richdata2" ref="B20:I24">
    <sortCondition ref="C19:C24"/>
  </sortState>
  <tableColumns count="8">
    <tableColumn id="1" xr3:uid="{BE3C1353-38BF-4190-8211-D33B4025F734}" name="Phase" dataDxfId="193" totalsRowDxfId="192"/>
    <tableColumn id="2" xr3:uid="{FF28E6AF-CA8A-4C63-A3CE-5FCC29D1A092}" name="Type" dataDxfId="191" totalsRowDxfId="190"/>
    <tableColumn id="3" xr3:uid="{6552B395-AABA-4478-85C9-A35D5BF4BB54}" name="Tâche" dataDxfId="189" totalsRowDxfId="188"/>
    <tableColumn id="4" xr3:uid="{FA41F85F-1FFC-4E9B-A6F9-EF24A4D96B10}" name="Description" dataDxfId="187" totalsRowDxfId="186"/>
    <tableColumn id="5" xr3:uid="{E7B23680-F155-496C-9995-D4E004D2463C}" name="Site(s) concerné(s)" dataDxfId="185" totalsRowDxfId="184"/>
    <tableColumn id="6" xr3:uid="{63B9A686-0AFF-4144-994D-A579C2643CEA}" name="Difficulté" dataDxfId="183" totalsRowDxfId="182"/>
    <tableColumn id="7" xr3:uid="{6CC43F70-33D9-46B5-A803-A6294ECE9930}" name="Nb _x000a_intervenants" dataDxfId="181" totalsRowDxfId="180"/>
    <tableColumn id="8" xr3:uid="{46548F77-22BB-4F87-B939-D0AF5326C13D}" name="Durée" totalsRowFunction="sum" dataDxfId="179"/>
  </tableColumns>
  <tableStyleInfo name="Style de tableau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6A15F5-3C0D-4C3E-BB0F-44B10FBBC243}" name="Tableau2" displayName="Tableau2" ref="B12:F21" totalsRowCount="1" headerRowDxfId="178" dataDxfId="176" headerRowBorderDxfId="177">
  <tableColumns count="5">
    <tableColumn id="1" xr3:uid="{98885E21-9D4A-4DEF-924E-FA1E5F588D51}" name="Tâche" dataDxfId="175" totalsRowDxfId="4">
      <calculatedColumnFormula>SoW!D19</calculatedColumnFormula>
    </tableColumn>
    <tableColumn id="4" xr3:uid="{985EB58E-CECE-472F-9798-916DFB153E6C}" name="Catégorie" dataDxfId="174" totalsRowDxfId="3"/>
    <tableColumn id="2" xr3:uid="{ABAE4723-E02E-441F-BE34-010D34237E9A}" name="Début" dataDxfId="173" totalsRowDxfId="2"/>
    <tableColumn id="3" xr3:uid="{D8FDB337-80FE-4173-A03E-123A3E5A1EEC}" name="Durée" totalsRowFunction="sum" dataDxfId="172" totalsRowDxfId="1"/>
    <tableColumn id="6" xr3:uid="{F532E47C-5BE0-46CA-88A0-826942630E6B}" name="Fin" dataDxfId="171" totalsRowDxfId="0">
      <calculatedColumnFormula>IF(Tableau2[[#This Row],[Durée]]="",0,IF($C$9="Oui",Tableau2[[#This Row],[Début]]+Tableau2[[#This Row],[Durée]]-1,WORKDAY(Tableau2[[#This Row],[Début]],Tableau2[[#This Row],[Durée]]-1,Tableau4[Jour férié])))</calculatedColumnFormula>
    </tableColumn>
  </tableColumns>
  <tableStyleInfo name="Style de tableau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E1B7C79-A0A9-44BA-8873-3C8DD64C212B}" name="Tableau8" displayName="Tableau8" ref="B3:B11" totalsRowShown="0" headerRowDxfId="170" dataDxfId="169" tableBorderDxfId="168">
  <tableColumns count="1">
    <tableColumn id="1" xr3:uid="{7F5BF202-6645-4DA8-8189-6E0A59558255}" name="Préparation / Conception" dataDxfId="167"/>
  </tableColumns>
  <tableStyleInfo name="ListeDesTâches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D2151EF-57C1-44A5-8FD2-A2D982CD17B7}" name="Tableau10" displayName="Tableau10" ref="D3:D8" totalsRowShown="0" headerRowDxfId="166" dataDxfId="165" tableBorderDxfId="164">
  <tableColumns count="1">
    <tableColumn id="1" xr3:uid="{698252F5-BC05-470B-BCFF-66493FBE5E70}" name="Implémentation" dataDxfId="163"/>
  </tableColumns>
  <tableStyleInfo name="ListeDesTâche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36A07B7-0E65-4919-918A-901A8F7FD4FF}" name="Tableau11" displayName="Tableau11" ref="F3:F6" totalsRowShown="0" headerRowDxfId="162" dataDxfId="161" tableBorderDxfId="160">
  <tableColumns count="1">
    <tableColumn id="1" xr3:uid="{4A06A5B9-A5F8-4823-BAD8-9E1A3B582C1C}" name="Post_Implémentation" dataDxfId="159"/>
  </tableColumns>
  <tableStyleInfo name="ListeDesTâche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DB664F-C7D7-40D5-B0ED-17D7B0DEE607}" name="Tableau4" displayName="Tableau4" ref="J3:K17" totalsRowShown="0" headerRowDxfId="158" dataDxfId="157">
  <tableColumns count="2">
    <tableColumn id="1" xr3:uid="{F4B70E9D-EDA4-4F38-9BCE-C00317694C45}" name="Jour férié" dataDxfId="156"/>
    <tableColumn id="2" xr3:uid="{9F7841F5-C2FE-48C9-87C3-8CBD723ED64E}" name="Description" dataDxfId="155"/>
  </tableColumns>
  <tableStyleInfo name="ListeDesTâches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3CA062-BEB5-4879-AC3F-02D34E9CFB95}" name="Tableau5" displayName="Tableau5" ref="B15:B19" totalsRowShown="0" headerRowDxfId="154" dataDxfId="153">
  <tableColumns count="1">
    <tableColumn id="1" xr3:uid="{C1B7AD2D-2D08-4C5D-95C5-2B63C668C63B}" name="Type de phase" dataDxfId="152"/>
  </tableColumns>
  <tableStyleInfo name="ListeDesTâches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E82DA7-ED3B-4AAC-9CE8-99CB51A0D07A}" name="Tableau117" displayName="Tableau117" ref="H3:H8" totalsRowShown="0" headerRowDxfId="151" dataDxfId="150" tableBorderDxfId="149">
  <tableColumns count="1">
    <tableColumn id="1" xr3:uid="{05DA9DF5-B9E1-4D77-8D9B-E01E767F4D8A}" name="Audit" dataDxfId="148"/>
  </tableColumns>
  <tableStyleInfo name="ListeDesTâches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AF2E-1550-4659-899F-C0B1E2F3C2C7}">
  <sheetPr codeName="Feuil2">
    <pageSetUpPr fitToPage="1"/>
  </sheetPr>
  <dimension ref="B1:I90"/>
  <sheetViews>
    <sheetView showGridLines="0" tabSelected="1" topLeftCell="A17" zoomScaleNormal="100" zoomScaleSheetLayoutView="100" workbookViewId="0">
      <selection activeCell="E22" sqref="E22"/>
    </sheetView>
  </sheetViews>
  <sheetFormatPr baseColWidth="10" defaultColWidth="11.3984375" defaultRowHeight="10.4" x14ac:dyDescent="0.3"/>
  <cols>
    <col min="1" max="1" width="11.3984375" style="1"/>
    <col min="2" max="2" width="14.09765625" style="1" bestFit="1" customWidth="1"/>
    <col min="3" max="3" width="13.59765625" style="1" bestFit="1" customWidth="1"/>
    <col min="4" max="4" width="9.296875" style="1" bestFit="1" customWidth="1"/>
    <col min="5" max="5" width="53.8984375" style="1" customWidth="1"/>
    <col min="6" max="6" width="11.3984375" style="1" customWidth="1"/>
    <col min="7" max="7" width="6.8984375" style="5" bestFit="1" customWidth="1"/>
    <col min="8" max="8" width="9.3984375" style="5" bestFit="1" customWidth="1"/>
    <col min="9" max="9" width="7.09765625" style="1" bestFit="1" customWidth="1"/>
    <col min="10" max="16384" width="11.3984375" style="1"/>
  </cols>
  <sheetData>
    <row r="1" spans="2:9" x14ac:dyDescent="0.3">
      <c r="B1" s="97"/>
      <c r="C1" s="97"/>
      <c r="D1" s="98" t="s">
        <v>0</v>
      </c>
      <c r="E1" s="98"/>
      <c r="F1" s="98"/>
      <c r="G1" s="98"/>
      <c r="H1" s="98"/>
      <c r="I1" s="98"/>
    </row>
    <row r="2" spans="2:9" x14ac:dyDescent="0.3">
      <c r="B2" s="97"/>
      <c r="C2" s="97"/>
      <c r="D2" s="98"/>
      <c r="E2" s="98"/>
      <c r="F2" s="98"/>
      <c r="G2" s="98"/>
      <c r="H2" s="98"/>
      <c r="I2" s="98"/>
    </row>
    <row r="3" spans="2:9" x14ac:dyDescent="0.3">
      <c r="B3" s="97"/>
      <c r="C3" s="97"/>
      <c r="D3" s="98"/>
      <c r="E3" s="98"/>
      <c r="F3" s="98"/>
      <c r="G3" s="98"/>
      <c r="H3" s="98"/>
      <c r="I3" s="98"/>
    </row>
    <row r="4" spans="2:9" x14ac:dyDescent="0.3">
      <c r="B4" s="97"/>
      <c r="C4" s="97"/>
      <c r="D4" s="99" t="s">
        <v>1</v>
      </c>
      <c r="E4" s="99"/>
      <c r="F4" s="99"/>
      <c r="G4" s="99"/>
      <c r="H4" s="99"/>
      <c r="I4" s="99"/>
    </row>
    <row r="5" spans="2:9" x14ac:dyDescent="0.3">
      <c r="B5" s="97"/>
      <c r="C5" s="97"/>
      <c r="D5" s="99"/>
      <c r="E5" s="99"/>
      <c r="F5" s="99"/>
      <c r="G5" s="99"/>
      <c r="H5" s="99"/>
      <c r="I5" s="99"/>
    </row>
    <row r="6" spans="2:9" x14ac:dyDescent="0.3">
      <c r="B6" s="97"/>
      <c r="C6" s="97"/>
      <c r="D6" s="99"/>
      <c r="E6" s="99"/>
      <c r="F6" s="99"/>
      <c r="G6" s="99"/>
      <c r="H6" s="99"/>
      <c r="I6" s="99"/>
    </row>
    <row r="7" spans="2:9" ht="15" customHeight="1" x14ac:dyDescent="0.25">
      <c r="B7" s="8"/>
      <c r="C7" s="8"/>
      <c r="D7" s="9"/>
      <c r="E7" s="9"/>
      <c r="F7" s="9"/>
      <c r="G7" s="9"/>
      <c r="H7" s="9"/>
      <c r="I7" s="9"/>
    </row>
    <row r="8" spans="2:9" ht="15" customHeight="1" x14ac:dyDescent="0.3">
      <c r="B8" s="84"/>
      <c r="C8" s="84"/>
      <c r="D8" s="84"/>
      <c r="E8" s="84"/>
      <c r="F8" s="84"/>
      <c r="G8" s="84"/>
      <c r="H8" s="84"/>
      <c r="I8" s="84"/>
    </row>
    <row r="9" spans="2:9" ht="20.2" customHeight="1" x14ac:dyDescent="0.3">
      <c r="B9" s="74" t="s">
        <v>2</v>
      </c>
      <c r="C9" s="75"/>
      <c r="D9" s="75"/>
      <c r="E9" s="75"/>
      <c r="F9" s="75"/>
      <c r="G9" s="75"/>
      <c r="H9" s="75"/>
      <c r="I9" s="76"/>
    </row>
    <row r="10" spans="2:9" s="27" customFormat="1" ht="15.55" customHeight="1" x14ac:dyDescent="0.3">
      <c r="B10" s="89" t="s">
        <v>3</v>
      </c>
      <c r="C10" s="90"/>
      <c r="D10" s="91" t="s">
        <v>84</v>
      </c>
      <c r="E10" s="92"/>
      <c r="F10" s="92"/>
      <c r="G10" s="92"/>
      <c r="H10" s="92"/>
      <c r="I10" s="93"/>
    </row>
    <row r="11" spans="2:9" s="27" customFormat="1" ht="15.55" customHeight="1" x14ac:dyDescent="0.3">
      <c r="B11" s="89" t="s">
        <v>4</v>
      </c>
      <c r="C11" s="90"/>
      <c r="D11" s="94" t="s">
        <v>85</v>
      </c>
      <c r="E11" s="95"/>
      <c r="F11" s="95"/>
      <c r="G11" s="95"/>
      <c r="H11" s="95"/>
      <c r="I11" s="96"/>
    </row>
    <row r="12" spans="2:9" s="27" customFormat="1" ht="15.55" customHeight="1" x14ac:dyDescent="0.3">
      <c r="B12" s="89" t="s">
        <v>5</v>
      </c>
      <c r="C12" s="90"/>
      <c r="D12" s="100" t="s">
        <v>21</v>
      </c>
      <c r="E12" s="101"/>
      <c r="F12" s="101"/>
      <c r="G12" s="101"/>
      <c r="H12" s="101"/>
      <c r="I12" s="102"/>
    </row>
    <row r="13" spans="2:9" ht="31.55" customHeight="1" x14ac:dyDescent="0.3">
      <c r="B13" s="89" t="s">
        <v>6</v>
      </c>
      <c r="C13" s="90"/>
      <c r="D13" s="94" t="s">
        <v>86</v>
      </c>
      <c r="E13" s="95"/>
      <c r="F13" s="95"/>
      <c r="G13" s="95"/>
      <c r="H13" s="95"/>
      <c r="I13" s="96"/>
    </row>
    <row r="14" spans="2:9" ht="13.85" x14ac:dyDescent="0.25">
      <c r="B14" s="2"/>
      <c r="C14" s="2"/>
      <c r="D14" s="2"/>
      <c r="E14" s="2"/>
      <c r="F14" s="2"/>
      <c r="G14" s="2"/>
    </row>
    <row r="15" spans="2:9" ht="12.7" x14ac:dyDescent="0.3">
      <c r="B15" s="103" t="s">
        <v>7</v>
      </c>
      <c r="C15" s="103"/>
      <c r="D15" s="103"/>
      <c r="E15" s="103"/>
      <c r="F15" s="103"/>
      <c r="G15" s="103"/>
      <c r="H15" s="103"/>
      <c r="I15" s="103"/>
    </row>
    <row r="16" spans="2:9" ht="25.5" customHeight="1" x14ac:dyDescent="0.3">
      <c r="B16" s="88" t="s">
        <v>8</v>
      </c>
      <c r="C16" s="88"/>
      <c r="D16" s="88"/>
      <c r="E16" s="88"/>
      <c r="F16" s="88"/>
      <c r="G16" s="88"/>
      <c r="H16" s="88"/>
      <c r="I16" s="88"/>
    </row>
    <row r="17" spans="2:9" ht="14.15" customHeight="1" x14ac:dyDescent="0.3">
      <c r="B17" s="27"/>
      <c r="C17" s="27"/>
      <c r="D17" s="27"/>
      <c r="E17" s="27"/>
      <c r="F17" s="27"/>
      <c r="G17" s="28"/>
      <c r="H17" s="28"/>
      <c r="I17" s="27"/>
    </row>
    <row r="18" spans="2:9" ht="20.45" customHeight="1" x14ac:dyDescent="0.3">
      <c r="B18" s="81" t="s">
        <v>9</v>
      </c>
      <c r="C18" s="82"/>
      <c r="D18" s="82"/>
      <c r="E18" s="82"/>
      <c r="F18" s="82"/>
      <c r="G18" s="82"/>
      <c r="H18" s="82"/>
      <c r="I18" s="83"/>
    </row>
    <row r="19" spans="2:9" ht="20.45" customHeight="1" x14ac:dyDescent="0.3">
      <c r="B19" s="33" t="s">
        <v>10</v>
      </c>
      <c r="C19" s="57" t="s">
        <v>11</v>
      </c>
      <c r="D19" s="58" t="s">
        <v>12</v>
      </c>
      <c r="E19" s="59" t="s">
        <v>13</v>
      </c>
      <c r="F19" s="60" t="s">
        <v>14</v>
      </c>
      <c r="G19" s="58" t="s">
        <v>15</v>
      </c>
      <c r="H19" s="57" t="s">
        <v>16</v>
      </c>
      <c r="I19" s="30" t="s">
        <v>17</v>
      </c>
    </row>
    <row r="20" spans="2:9" ht="54.15" customHeight="1" x14ac:dyDescent="0.3">
      <c r="B20" s="32" t="s">
        <v>18</v>
      </c>
      <c r="C20" s="61" t="s">
        <v>19</v>
      </c>
      <c r="D20" s="62" t="s">
        <v>20</v>
      </c>
      <c r="E20" s="63" t="s">
        <v>90</v>
      </c>
      <c r="F20" s="63" t="s">
        <v>21</v>
      </c>
      <c r="G20" s="3" t="s">
        <v>22</v>
      </c>
      <c r="H20" s="64">
        <v>1</v>
      </c>
      <c r="I20" s="65">
        <v>0.5</v>
      </c>
    </row>
    <row r="21" spans="2:9" ht="48.4" customHeight="1" x14ac:dyDescent="0.3">
      <c r="B21" s="32" t="s">
        <v>25</v>
      </c>
      <c r="C21" s="61" t="s">
        <v>26</v>
      </c>
      <c r="D21" s="61" t="s">
        <v>28</v>
      </c>
      <c r="E21" s="66" t="s">
        <v>91</v>
      </c>
      <c r="F21" s="66" t="s">
        <v>21</v>
      </c>
      <c r="G21" s="3" t="s">
        <v>87</v>
      </c>
      <c r="H21" s="64">
        <v>2</v>
      </c>
      <c r="I21" s="65">
        <v>1</v>
      </c>
    </row>
    <row r="22" spans="2:9" ht="89.85" customHeight="1" x14ac:dyDescent="0.3">
      <c r="B22" s="32" t="s">
        <v>25</v>
      </c>
      <c r="C22" s="61" t="s">
        <v>26</v>
      </c>
      <c r="D22" s="61" t="s">
        <v>29</v>
      </c>
      <c r="E22" s="66" t="s">
        <v>92</v>
      </c>
      <c r="F22" s="66" t="s">
        <v>21</v>
      </c>
      <c r="G22" s="3" t="s">
        <v>24</v>
      </c>
      <c r="H22" s="64">
        <v>1</v>
      </c>
      <c r="I22" s="65">
        <v>2.5</v>
      </c>
    </row>
    <row r="23" spans="2:9" ht="41.5" x14ac:dyDescent="0.3">
      <c r="B23" s="32" t="s">
        <v>25</v>
      </c>
      <c r="C23" s="61" t="s">
        <v>26</v>
      </c>
      <c r="D23" s="61" t="s">
        <v>30</v>
      </c>
      <c r="E23" s="66" t="s">
        <v>89</v>
      </c>
      <c r="F23" s="66" t="s">
        <v>21</v>
      </c>
      <c r="G23" s="3" t="s">
        <v>22</v>
      </c>
      <c r="H23" s="64">
        <v>1</v>
      </c>
      <c r="I23" s="65">
        <v>0.5</v>
      </c>
    </row>
    <row r="24" spans="2:9" ht="20.75" x14ac:dyDescent="0.3">
      <c r="B24" s="32" t="s">
        <v>31</v>
      </c>
      <c r="C24" s="61" t="s">
        <v>32</v>
      </c>
      <c r="D24" s="61" t="s">
        <v>33</v>
      </c>
      <c r="E24" s="66" t="s">
        <v>34</v>
      </c>
      <c r="F24" s="66" t="s">
        <v>21</v>
      </c>
      <c r="G24" s="3" t="s">
        <v>22</v>
      </c>
      <c r="H24" s="64">
        <v>1</v>
      </c>
      <c r="I24" s="65">
        <v>0.5</v>
      </c>
    </row>
    <row r="25" spans="2:9" x14ac:dyDescent="0.3">
      <c r="B25" s="67"/>
      <c r="C25" s="68"/>
      <c r="D25" s="68"/>
      <c r="E25" s="69"/>
      <c r="F25" s="69"/>
      <c r="G25" s="53"/>
      <c r="H25" s="53"/>
      <c r="I25" s="70"/>
    </row>
    <row r="26" spans="2:9" x14ac:dyDescent="0.3">
      <c r="B26" s="71"/>
      <c r="C26" s="71"/>
      <c r="D26" s="71"/>
      <c r="E26" s="72"/>
      <c r="F26" s="72"/>
      <c r="G26" s="54"/>
      <c r="H26" s="54"/>
      <c r="I26" s="55"/>
    </row>
    <row r="27" spans="2:9" ht="12.7" x14ac:dyDescent="0.3">
      <c r="B27" s="78" t="s">
        <v>36</v>
      </c>
      <c r="C27" s="79"/>
      <c r="D27" s="79"/>
      <c r="E27" s="79"/>
      <c r="F27" s="79"/>
      <c r="G27" s="79"/>
      <c r="H27" s="79"/>
      <c r="I27" s="80"/>
    </row>
    <row r="28" spans="2:9" ht="145.15" customHeight="1" x14ac:dyDescent="0.3">
      <c r="B28" s="85" t="s">
        <v>88</v>
      </c>
      <c r="C28" s="86"/>
      <c r="D28" s="86"/>
      <c r="E28" s="86"/>
      <c r="F28" s="86"/>
      <c r="G28" s="86"/>
      <c r="H28" s="86"/>
      <c r="I28" s="87"/>
    </row>
    <row r="29" spans="2:9" ht="15.55" customHeight="1" x14ac:dyDescent="0.3"/>
    <row r="30" spans="2:9" ht="15.55" x14ac:dyDescent="0.3">
      <c r="B30" s="6" t="s">
        <v>37</v>
      </c>
      <c r="C30" s="7"/>
      <c r="D30" s="10"/>
      <c r="E30" s="51"/>
      <c r="F30" s="4"/>
      <c r="G30" s="4"/>
      <c r="H30" s="4"/>
      <c r="I30" s="4"/>
    </row>
    <row r="31" spans="2:9" ht="14.4" x14ac:dyDescent="0.3">
      <c r="B31" s="108" t="s">
        <v>10</v>
      </c>
      <c r="C31" s="109" t="s">
        <v>12</v>
      </c>
      <c r="D31" s="110" t="s">
        <v>38</v>
      </c>
      <c r="E31"/>
      <c r="F31"/>
      <c r="G31"/>
      <c r="H31"/>
      <c r="I31"/>
    </row>
    <row r="32" spans="2:9" ht="14.4" x14ac:dyDescent="0.3">
      <c r="B32" s="111" t="s">
        <v>18</v>
      </c>
      <c r="C32" s="116" t="s">
        <v>20</v>
      </c>
      <c r="D32" s="112">
        <v>0.5</v>
      </c>
      <c r="E32"/>
      <c r="F32"/>
      <c r="G32"/>
      <c r="H32"/>
      <c r="I32"/>
    </row>
    <row r="33" spans="2:9" ht="14.4" x14ac:dyDescent="0.3">
      <c r="B33" s="111" t="s">
        <v>25</v>
      </c>
      <c r="C33" s="116" t="s">
        <v>29</v>
      </c>
      <c r="D33" s="112">
        <v>2.5</v>
      </c>
      <c r="E33"/>
      <c r="F33"/>
      <c r="G33"/>
      <c r="H33"/>
      <c r="I33"/>
    </row>
    <row r="34" spans="2:9" ht="14.4" x14ac:dyDescent="0.3">
      <c r="B34" s="111"/>
      <c r="C34" s="116" t="s">
        <v>28</v>
      </c>
      <c r="D34" s="112">
        <v>1</v>
      </c>
      <c r="E34"/>
      <c r="F34"/>
      <c r="G34"/>
      <c r="H34"/>
      <c r="I34"/>
    </row>
    <row r="35" spans="2:9" ht="14.4" x14ac:dyDescent="0.3">
      <c r="B35" s="111"/>
      <c r="C35" s="117" t="s">
        <v>30</v>
      </c>
      <c r="D35" s="112">
        <v>0.5</v>
      </c>
      <c r="E35"/>
      <c r="F35"/>
      <c r="G35"/>
      <c r="H35"/>
      <c r="I35"/>
    </row>
    <row r="36" spans="2:9" ht="20.75" x14ac:dyDescent="0.3">
      <c r="B36" s="111" t="s">
        <v>31</v>
      </c>
      <c r="C36" s="116" t="s">
        <v>33</v>
      </c>
      <c r="D36" s="112">
        <v>0.5</v>
      </c>
      <c r="E36"/>
      <c r="F36"/>
      <c r="G36"/>
      <c r="H36"/>
      <c r="I36"/>
    </row>
    <row r="37" spans="2:9" ht="14.4" x14ac:dyDescent="0.3">
      <c r="B37" s="113" t="s">
        <v>39</v>
      </c>
      <c r="C37" s="114"/>
      <c r="D37" s="115">
        <v>5</v>
      </c>
      <c r="E37"/>
      <c r="F37"/>
      <c r="G37"/>
      <c r="H37"/>
      <c r="I37"/>
    </row>
    <row r="38" spans="2:9" ht="14.4" x14ac:dyDescent="0.3">
      <c r="B38"/>
      <c r="C38"/>
      <c r="D38"/>
      <c r="E38"/>
      <c r="F38"/>
      <c r="G38"/>
      <c r="H38"/>
      <c r="I38"/>
    </row>
    <row r="39" spans="2:9" ht="14.4" x14ac:dyDescent="0.3">
      <c r="B39"/>
      <c r="C39"/>
      <c r="D39"/>
      <c r="E39"/>
      <c r="F39"/>
      <c r="G39"/>
      <c r="H39"/>
      <c r="I39"/>
    </row>
    <row r="40" spans="2:9" ht="14.4" x14ac:dyDescent="0.3">
      <c r="B40"/>
      <c r="C40"/>
      <c r="D40"/>
      <c r="E40"/>
      <c r="F40"/>
      <c r="G40"/>
      <c r="H40"/>
      <c r="I40"/>
    </row>
    <row r="41" spans="2:9" ht="14.4" x14ac:dyDescent="0.3">
      <c r="B41"/>
      <c r="C41"/>
      <c r="D41"/>
      <c r="E41"/>
      <c r="F41"/>
      <c r="G41"/>
      <c r="H41"/>
      <c r="I41"/>
    </row>
    <row r="42" spans="2:9" ht="14.4" x14ac:dyDescent="0.3">
      <c r="B42"/>
      <c r="C42"/>
      <c r="D42"/>
      <c r="E42"/>
      <c r="F42"/>
      <c r="G42"/>
      <c r="H42"/>
      <c r="I42"/>
    </row>
    <row r="43" spans="2:9" ht="14.4" x14ac:dyDescent="0.3">
      <c r="B43"/>
      <c r="C43"/>
      <c r="D43"/>
      <c r="E43"/>
      <c r="F43"/>
      <c r="G43"/>
      <c r="H43"/>
      <c r="I43"/>
    </row>
    <row r="44" spans="2:9" ht="14.4" x14ac:dyDescent="0.3">
      <c r="B44"/>
      <c r="C44"/>
      <c r="D44"/>
      <c r="E44"/>
      <c r="F44"/>
      <c r="G44"/>
      <c r="H44"/>
      <c r="I44"/>
    </row>
    <row r="45" spans="2:9" ht="14.4" x14ac:dyDescent="0.3">
      <c r="B45"/>
      <c r="C45"/>
      <c r="D45"/>
      <c r="E45"/>
      <c r="F45"/>
      <c r="G45"/>
      <c r="H45"/>
      <c r="I45"/>
    </row>
    <row r="46" spans="2:9" ht="14.4" x14ac:dyDescent="0.3">
      <c r="B46"/>
      <c r="C46"/>
      <c r="D46"/>
      <c r="E46"/>
      <c r="F46"/>
      <c r="G46"/>
      <c r="H46"/>
      <c r="I46"/>
    </row>
    <row r="47" spans="2:9" ht="14.4" x14ac:dyDescent="0.3">
      <c r="B47"/>
      <c r="C47"/>
      <c r="D47"/>
      <c r="E47"/>
      <c r="F47"/>
      <c r="G47"/>
      <c r="H47"/>
      <c r="I47"/>
    </row>
    <row r="48" spans="2:9" ht="14.4" x14ac:dyDescent="0.3">
      <c r="B48"/>
      <c r="C48"/>
      <c r="D48"/>
      <c r="E48"/>
      <c r="F48"/>
      <c r="G48"/>
      <c r="H48"/>
      <c r="I48"/>
    </row>
    <row r="49" spans="2:9" ht="14.4" x14ac:dyDescent="0.3">
      <c r="B49"/>
      <c r="C49"/>
      <c r="D49"/>
      <c r="E49"/>
      <c r="F49"/>
      <c r="G49"/>
      <c r="H49"/>
      <c r="I49"/>
    </row>
    <row r="50" spans="2:9" ht="14.4" x14ac:dyDescent="0.3">
      <c r="B50"/>
      <c r="C50"/>
      <c r="D50"/>
      <c r="E50"/>
      <c r="F50"/>
      <c r="G50"/>
      <c r="H50"/>
      <c r="I50"/>
    </row>
    <row r="51" spans="2:9" ht="14.4" x14ac:dyDescent="0.3">
      <c r="B51"/>
      <c r="C51"/>
      <c r="D51"/>
      <c r="E51"/>
      <c r="F51"/>
      <c r="G51"/>
      <c r="H51"/>
      <c r="I51"/>
    </row>
    <row r="52" spans="2:9" ht="14.4" x14ac:dyDescent="0.3">
      <c r="B52"/>
      <c r="C52"/>
      <c r="D52"/>
      <c r="E52"/>
      <c r="F52"/>
      <c r="G52"/>
      <c r="H52"/>
      <c r="I52"/>
    </row>
    <row r="53" spans="2:9" ht="14.4" x14ac:dyDescent="0.3">
      <c r="B53"/>
      <c r="C53"/>
      <c r="D53"/>
      <c r="E53"/>
      <c r="F53"/>
      <c r="G53"/>
      <c r="H53"/>
      <c r="I53"/>
    </row>
    <row r="54" spans="2:9" ht="14.4" x14ac:dyDescent="0.3">
      <c r="B54"/>
      <c r="C54"/>
      <c r="D54"/>
      <c r="E54"/>
      <c r="F54"/>
      <c r="G54"/>
      <c r="H54"/>
      <c r="I54"/>
    </row>
    <row r="55" spans="2:9" ht="14.4" x14ac:dyDescent="0.3">
      <c r="B55"/>
      <c r="C55"/>
      <c r="D55"/>
      <c r="E55"/>
      <c r="F55"/>
      <c r="G55"/>
      <c r="H55"/>
      <c r="I55"/>
    </row>
    <row r="56" spans="2:9" ht="14.4" x14ac:dyDescent="0.3">
      <c r="B56"/>
      <c r="C56"/>
      <c r="D56"/>
      <c r="E56"/>
      <c r="F56"/>
      <c r="G56"/>
      <c r="H56"/>
      <c r="I56"/>
    </row>
    <row r="57" spans="2:9" ht="14.4" x14ac:dyDescent="0.3">
      <c r="B57"/>
      <c r="C57"/>
      <c r="D57"/>
      <c r="E57"/>
      <c r="F57"/>
      <c r="G57"/>
      <c r="H57"/>
      <c r="I57"/>
    </row>
    <row r="58" spans="2:9" ht="14.4" x14ac:dyDescent="0.3">
      <c r="B58"/>
      <c r="C58"/>
      <c r="D58"/>
      <c r="E58"/>
      <c r="F58"/>
      <c r="G58"/>
      <c r="H58"/>
      <c r="I58"/>
    </row>
    <row r="59" spans="2:9" ht="14.4" x14ac:dyDescent="0.3">
      <c r="B59"/>
      <c r="C59"/>
      <c r="D59"/>
      <c r="E59"/>
      <c r="F59"/>
      <c r="G59"/>
      <c r="H59"/>
      <c r="I59"/>
    </row>
    <row r="60" spans="2:9" ht="14.4" x14ac:dyDescent="0.3">
      <c r="B60"/>
      <c r="C60"/>
      <c r="D60"/>
      <c r="E60"/>
      <c r="F60"/>
      <c r="G60"/>
      <c r="H60"/>
      <c r="I60"/>
    </row>
    <row r="61" spans="2:9" ht="14.4" x14ac:dyDescent="0.3">
      <c r="B61"/>
      <c r="C61"/>
      <c r="D61"/>
      <c r="E61"/>
      <c r="F61"/>
      <c r="G61"/>
      <c r="H61"/>
      <c r="I61"/>
    </row>
    <row r="62" spans="2:9" ht="14.4" x14ac:dyDescent="0.3">
      <c r="B62"/>
      <c r="C62"/>
      <c r="D62"/>
      <c r="E62"/>
      <c r="F62"/>
      <c r="G62"/>
      <c r="H62"/>
      <c r="I62"/>
    </row>
    <row r="63" spans="2:9" ht="14.4" x14ac:dyDescent="0.3">
      <c r="B63"/>
      <c r="C63"/>
      <c r="D63"/>
      <c r="E63"/>
      <c r="F63"/>
      <c r="G63"/>
      <c r="H63"/>
      <c r="I63"/>
    </row>
    <row r="64" spans="2:9" ht="14.4" x14ac:dyDescent="0.3">
      <c r="B64"/>
      <c r="C64"/>
      <c r="D64"/>
      <c r="E64"/>
      <c r="F64"/>
      <c r="G64"/>
      <c r="H64"/>
      <c r="I64"/>
    </row>
    <row r="65" spans="2:9" ht="14.4" x14ac:dyDescent="0.3">
      <c r="B65"/>
      <c r="C65"/>
      <c r="D65"/>
      <c r="E65"/>
      <c r="F65"/>
      <c r="G65"/>
      <c r="H65"/>
      <c r="I65"/>
    </row>
    <row r="66" spans="2:9" ht="14.4" x14ac:dyDescent="0.3">
      <c r="B66"/>
      <c r="C66"/>
      <c r="D66"/>
      <c r="E66"/>
      <c r="F66"/>
      <c r="G66"/>
      <c r="H66"/>
      <c r="I66"/>
    </row>
    <row r="67" spans="2:9" ht="14.4" x14ac:dyDescent="0.3">
      <c r="B67"/>
      <c r="C67"/>
      <c r="D67"/>
      <c r="E67"/>
      <c r="F67"/>
      <c r="G67"/>
      <c r="H67"/>
      <c r="I67"/>
    </row>
    <row r="68" spans="2:9" ht="14.4" x14ac:dyDescent="0.3">
      <c r="B68"/>
      <c r="C68"/>
      <c r="D68"/>
      <c r="E68"/>
      <c r="F68"/>
      <c r="G68"/>
      <c r="H68"/>
      <c r="I68"/>
    </row>
    <row r="69" spans="2:9" ht="14.4" x14ac:dyDescent="0.3">
      <c r="B69"/>
      <c r="C69"/>
      <c r="D69"/>
      <c r="E69"/>
      <c r="F69"/>
      <c r="G69"/>
      <c r="H69"/>
      <c r="I69"/>
    </row>
    <row r="70" spans="2:9" ht="14.4" x14ac:dyDescent="0.3">
      <c r="B70"/>
      <c r="C70"/>
      <c r="D70"/>
      <c r="E70"/>
      <c r="F70"/>
      <c r="G70"/>
      <c r="H70"/>
      <c r="I70"/>
    </row>
    <row r="71" spans="2:9" ht="14.4" x14ac:dyDescent="0.3">
      <c r="B71"/>
      <c r="C71"/>
      <c r="D71"/>
      <c r="E71"/>
      <c r="F71"/>
      <c r="G71"/>
      <c r="H71"/>
      <c r="I71"/>
    </row>
    <row r="72" spans="2:9" ht="14.4" x14ac:dyDescent="0.3">
      <c r="B72"/>
      <c r="C72"/>
      <c r="D72"/>
      <c r="E72"/>
      <c r="F72"/>
      <c r="G72"/>
      <c r="H72"/>
      <c r="I72"/>
    </row>
    <row r="73" spans="2:9" ht="14.4" x14ac:dyDescent="0.3">
      <c r="B73"/>
      <c r="C73"/>
      <c r="D73"/>
      <c r="E73"/>
      <c r="F73"/>
      <c r="G73"/>
      <c r="H73"/>
      <c r="I73"/>
    </row>
    <row r="74" spans="2:9" ht="14.4" x14ac:dyDescent="0.3">
      <c r="B74"/>
      <c r="C74"/>
      <c r="D74"/>
      <c r="E74"/>
      <c r="F74"/>
      <c r="G74"/>
      <c r="H74"/>
      <c r="I74"/>
    </row>
    <row r="75" spans="2:9" ht="14.4" x14ac:dyDescent="0.3">
      <c r="B75"/>
      <c r="C75"/>
      <c r="D75"/>
      <c r="E75"/>
      <c r="F75"/>
      <c r="G75"/>
      <c r="H75"/>
      <c r="I75"/>
    </row>
    <row r="76" spans="2:9" ht="14.4" x14ac:dyDescent="0.3">
      <c r="B76"/>
      <c r="C76"/>
      <c r="D76"/>
      <c r="E76"/>
      <c r="F76"/>
      <c r="G76"/>
      <c r="H76"/>
      <c r="I76"/>
    </row>
    <row r="77" spans="2:9" ht="14.4" x14ac:dyDescent="0.3">
      <c r="B77"/>
      <c r="C77"/>
      <c r="D77"/>
      <c r="E77"/>
      <c r="F77"/>
      <c r="G77"/>
      <c r="H77"/>
      <c r="I77"/>
    </row>
    <row r="78" spans="2:9" ht="14.4" x14ac:dyDescent="0.3">
      <c r="B78"/>
      <c r="C78"/>
      <c r="D78"/>
      <c r="E78"/>
      <c r="F78"/>
      <c r="G78"/>
      <c r="H78"/>
      <c r="I78"/>
    </row>
    <row r="79" spans="2:9" ht="14.4" x14ac:dyDescent="0.3">
      <c r="B79"/>
      <c r="C79"/>
      <c r="D79"/>
      <c r="E79"/>
      <c r="F79"/>
      <c r="G79"/>
      <c r="H79"/>
      <c r="I79"/>
    </row>
    <row r="80" spans="2:9" ht="14.4" x14ac:dyDescent="0.3">
      <c r="B80"/>
      <c r="C80"/>
      <c r="D80"/>
      <c r="E80"/>
      <c r="F80"/>
      <c r="G80"/>
      <c r="H80"/>
      <c r="I80"/>
    </row>
    <row r="81" spans="2:9" ht="14.4" x14ac:dyDescent="0.3">
      <c r="B81"/>
      <c r="C81"/>
      <c r="D81"/>
      <c r="E81"/>
      <c r="F81"/>
      <c r="G81"/>
      <c r="H81"/>
      <c r="I81"/>
    </row>
    <row r="82" spans="2:9" ht="14.4" x14ac:dyDescent="0.3">
      <c r="B82"/>
      <c r="C82"/>
      <c r="D82"/>
      <c r="E82"/>
      <c r="F82"/>
      <c r="G82"/>
      <c r="H82"/>
      <c r="I82"/>
    </row>
    <row r="83" spans="2:9" ht="14.4" x14ac:dyDescent="0.3">
      <c r="B83"/>
      <c r="C83"/>
      <c r="D83"/>
      <c r="E83"/>
      <c r="F83"/>
      <c r="G83"/>
      <c r="H83"/>
      <c r="I83"/>
    </row>
    <row r="84" spans="2:9" ht="14.4" x14ac:dyDescent="0.3">
      <c r="B84"/>
      <c r="C84"/>
      <c r="D84"/>
      <c r="E84"/>
      <c r="F84"/>
      <c r="G84"/>
      <c r="H84"/>
      <c r="I84"/>
    </row>
    <row r="85" spans="2:9" ht="14.4" x14ac:dyDescent="0.3">
      <c r="B85"/>
      <c r="C85"/>
      <c r="D85"/>
      <c r="E85"/>
      <c r="F85"/>
      <c r="G85"/>
      <c r="H85"/>
      <c r="I85"/>
    </row>
    <row r="86" spans="2:9" ht="14.4" x14ac:dyDescent="0.3">
      <c r="B86"/>
      <c r="C86"/>
      <c r="D86"/>
      <c r="E86"/>
      <c r="F86"/>
      <c r="G86"/>
      <c r="H86"/>
      <c r="I86"/>
    </row>
    <row r="87" spans="2:9" ht="14.4" x14ac:dyDescent="0.3">
      <c r="B87"/>
      <c r="C87"/>
      <c r="D87"/>
      <c r="E87"/>
      <c r="F87"/>
      <c r="G87"/>
      <c r="H87"/>
      <c r="I87"/>
    </row>
    <row r="88" spans="2:9" ht="14.4" x14ac:dyDescent="0.3">
      <c r="B88"/>
      <c r="C88"/>
      <c r="D88"/>
      <c r="E88"/>
      <c r="F88"/>
      <c r="G88"/>
      <c r="H88"/>
      <c r="I88"/>
    </row>
    <row r="89" spans="2:9" ht="14.4" x14ac:dyDescent="0.3">
      <c r="B89"/>
      <c r="C89"/>
      <c r="D89"/>
      <c r="E89"/>
      <c r="F89"/>
      <c r="G89"/>
      <c r="H89"/>
      <c r="I89"/>
    </row>
    <row r="90" spans="2:9" ht="14.4" x14ac:dyDescent="0.3">
      <c r="B90"/>
      <c r="C90"/>
      <c r="D90"/>
      <c r="E90"/>
      <c r="F90"/>
      <c r="G90"/>
      <c r="H90"/>
      <c r="I90"/>
    </row>
  </sheetData>
  <mergeCells count="17">
    <mergeCell ref="B1:C6"/>
    <mergeCell ref="D1:I3"/>
    <mergeCell ref="D4:I6"/>
    <mergeCell ref="D12:I12"/>
    <mergeCell ref="B15:I15"/>
    <mergeCell ref="B13:C13"/>
    <mergeCell ref="D13:I13"/>
    <mergeCell ref="B27:I27"/>
    <mergeCell ref="B18:I18"/>
    <mergeCell ref="B8:I8"/>
    <mergeCell ref="B28:I28"/>
    <mergeCell ref="B16:I16"/>
    <mergeCell ref="B10:C10"/>
    <mergeCell ref="B11:C11"/>
    <mergeCell ref="B12:C12"/>
    <mergeCell ref="D10:I10"/>
    <mergeCell ref="D11:I11"/>
  </mergeCells>
  <dataValidations count="7">
    <dataValidation type="list" allowBlank="1" showInputMessage="1" showErrorMessage="1" sqref="D26" xr:uid="{08476660-A673-4F35-A398-F36CE9A51314}">
      <formula1>"Préparation,Implémentation,Post_Implémentation"</formula1>
    </dataValidation>
    <dataValidation type="list" allowBlank="1" showInputMessage="1" showErrorMessage="1" sqref="E26" xr:uid="{9C6F56AD-D106-47B0-8099-C2257A5DD96B}">
      <formula1>INDIRECT($D26)</formula1>
    </dataValidation>
    <dataValidation type="list" allowBlank="1" showInputMessage="1" showErrorMessage="1" sqref="G20:G24" xr:uid="{55B76550-AF88-4A16-B076-317530E4D079}">
      <formula1>"Cab,Tech,Ing-1,Ing-2,Ing-3"</formula1>
    </dataValidation>
    <dataValidation type="whole" allowBlank="1" showInputMessage="1" showErrorMessage="1" sqref="H20:H24" xr:uid="{52F41353-731E-4E2F-A665-384C4CA9A65A}">
      <formula1>1</formula1>
      <formula2>100</formula2>
    </dataValidation>
    <dataValidation type="list" allowBlank="1" showInputMessage="1" showErrorMessage="1" sqref="C20:C24" xr:uid="{314E7CE1-EABC-424E-AF9F-9936DEC8AE20}">
      <formula1>INDIRECT("Tableau5")</formula1>
    </dataValidation>
    <dataValidation type="list" allowBlank="1" showInputMessage="1" showErrorMessage="1" sqref="B20:B24" xr:uid="{D7F2F755-2DC7-4215-A08F-A0F9D01CB6C8}">
      <formula1>"Phase 1,Phase 2,Phase 3"</formula1>
    </dataValidation>
    <dataValidation type="list" allowBlank="1" showInputMessage="1" showErrorMessage="1" sqref="D20:D24" xr:uid="{2F462506-A820-43CB-854A-A02EBABF2C37}">
      <formula1>INDIRECT($C20)</formula1>
    </dataValidation>
  </dataValidations>
  <pageMargins left="0.23622047244094491" right="0.23622047244094491" top="0.35433070866141736" bottom="0.35433070866141736" header="0.31496062992125984" footer="0.31496062992125984"/>
  <pageSetup paperSize="9" scale="78" fitToHeight="0" orientation="portrait" r:id="rId2"/>
  <headerFooter>
    <oddFooter>&amp;C&amp;"Arial,Gras"&amp;10&amp;KA41D66Company Confidential – Client / Vendor Information NextHope ©</oddFooter>
  </headerFooter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3463-DEE4-435A-9C34-22E4AC6B8EB2}">
  <sheetPr codeName="Feuil1">
    <pageSetUpPr fitToPage="1"/>
  </sheetPr>
  <dimension ref="B1:AW31"/>
  <sheetViews>
    <sheetView showGridLines="0" topLeftCell="A5" zoomScaleNormal="100" zoomScaleSheetLayoutView="100" workbookViewId="0">
      <selection activeCell="D14" sqref="D14"/>
    </sheetView>
  </sheetViews>
  <sheetFormatPr baseColWidth="10" defaultColWidth="10.8984375" defaultRowHeight="10.4" x14ac:dyDescent="0.3"/>
  <cols>
    <col min="1" max="1" width="2.296875" style="1" customWidth="1"/>
    <col min="2" max="2" width="56.09765625" style="1" customWidth="1"/>
    <col min="3" max="3" width="13.69921875" style="1" bestFit="1" customWidth="1"/>
    <col min="4" max="4" width="8.8984375" style="5" bestFit="1" customWidth="1"/>
    <col min="5" max="5" width="7.3984375" style="5" bestFit="1" customWidth="1"/>
    <col min="6" max="6" width="8.09765625" style="5" bestFit="1" customWidth="1"/>
    <col min="7" max="35" width="3.3984375" style="5" customWidth="1"/>
    <col min="36" max="38" width="3.3984375" style="1" customWidth="1"/>
    <col min="39" max="49" width="3.59765625" style="1" customWidth="1"/>
    <col min="50" max="16384" width="10.8984375" style="1"/>
  </cols>
  <sheetData>
    <row r="1" spans="2:38" ht="9.9499999999999993" customHeight="1" x14ac:dyDescent="0.3">
      <c r="B1" s="107" t="str">
        <f>SoW!D4</f>
        <v>Videoconferencing Solution Provisioning</v>
      </c>
      <c r="C1" s="107"/>
      <c r="D1" s="107"/>
      <c r="E1" s="45"/>
    </row>
    <row r="2" spans="2:38" ht="9.9499999999999993" customHeight="1" x14ac:dyDescent="0.3">
      <c r="B2" s="107"/>
      <c r="C2" s="107"/>
      <c r="D2" s="107"/>
      <c r="E2" s="45"/>
    </row>
    <row r="3" spans="2:38" ht="9.9499999999999993" customHeight="1" x14ac:dyDescent="0.3">
      <c r="B3" s="44"/>
      <c r="C3" s="44"/>
      <c r="D3" s="44"/>
      <c r="E3" s="45"/>
    </row>
    <row r="4" spans="2:38" ht="15.55" x14ac:dyDescent="0.3">
      <c r="B4" s="106" t="s">
        <v>40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</row>
    <row r="5" spans="2:38" ht="15.55" x14ac:dyDescent="0.3"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</row>
    <row r="6" spans="2:38" ht="17.3" customHeight="1" x14ac:dyDescent="0.3">
      <c r="D6" s="1"/>
      <c r="E6" s="1"/>
    </row>
    <row r="7" spans="2:38" ht="12.85" customHeight="1" x14ac:dyDescent="0.3">
      <c r="B7" s="49" t="s">
        <v>41</v>
      </c>
      <c r="C7" s="50">
        <v>0</v>
      </c>
      <c r="D7" s="3"/>
      <c r="E7" s="3"/>
      <c r="F7" s="16"/>
    </row>
    <row r="8" spans="2:38" x14ac:dyDescent="0.3">
      <c r="B8" s="11" t="s">
        <v>42</v>
      </c>
      <c r="C8" s="46">
        <f>DATE(2025, 12, 15)</f>
        <v>46006</v>
      </c>
      <c r="D8" s="3"/>
      <c r="E8" s="3"/>
      <c r="F8" s="16"/>
      <c r="H8" s="47" t="str">
        <f>IF($C$10="Jour",IF($C$11="Non",_xlfn.CONCAT("M",MONTH(H11)),PROPER(TEXT(H11,"mmm"))),"")</f>
        <v>Déc</v>
      </c>
      <c r="I8" s="47" t="str">
        <f>IF($C$10="Jour",IF($C$11="Non",IF(MONTH(I11)=MONTH(H11),"",_xlfn.CONCAT("M",MONTH(I11))),IF(MONTH(I11)=MONTH(H11),"",PROPER(TEXT(I11,"mmm")))),"")</f>
        <v/>
      </c>
      <c r="J8" s="47" t="str">
        <f t="shared" ref="J8:AL8" si="0">IF($C$10="Jour",IF($C$11="Non",IF(MONTH(J11)=MONTH(I11),"",_xlfn.CONCAT("M",MONTH(J11))),IF(MONTH(J11)=MONTH(I11),"",PROPER(TEXT(J11,"mmm")))),"")</f>
        <v/>
      </c>
      <c r="K8" s="47" t="str">
        <f t="shared" si="0"/>
        <v/>
      </c>
      <c r="L8" s="47" t="str">
        <f t="shared" si="0"/>
        <v/>
      </c>
      <c r="M8" s="47" t="str">
        <f t="shared" si="0"/>
        <v/>
      </c>
      <c r="N8" s="47" t="str">
        <f t="shared" si="0"/>
        <v/>
      </c>
      <c r="O8" s="47" t="str">
        <f t="shared" si="0"/>
        <v/>
      </c>
      <c r="P8" s="47" t="str">
        <f t="shared" si="0"/>
        <v/>
      </c>
      <c r="Q8" s="47" t="str">
        <f t="shared" si="0"/>
        <v/>
      </c>
      <c r="R8" s="47" t="str">
        <f t="shared" si="0"/>
        <v/>
      </c>
      <c r="S8" s="47" t="str">
        <f t="shared" si="0"/>
        <v/>
      </c>
      <c r="T8" s="47" t="str">
        <f t="shared" si="0"/>
        <v/>
      </c>
      <c r="U8" s="47" t="str">
        <f t="shared" si="0"/>
        <v/>
      </c>
      <c r="V8" s="47" t="str">
        <f t="shared" si="0"/>
        <v/>
      </c>
      <c r="W8" s="47" t="str">
        <f t="shared" si="0"/>
        <v/>
      </c>
      <c r="X8" s="47" t="str">
        <f t="shared" si="0"/>
        <v/>
      </c>
      <c r="Y8" s="47" t="str">
        <f t="shared" si="0"/>
        <v>Janv</v>
      </c>
      <c r="Z8" s="47" t="str">
        <f t="shared" si="0"/>
        <v/>
      </c>
      <c r="AA8" s="47" t="str">
        <f t="shared" si="0"/>
        <v/>
      </c>
      <c r="AB8" s="47" t="str">
        <f t="shared" si="0"/>
        <v/>
      </c>
      <c r="AC8" s="47" t="str">
        <f t="shared" si="0"/>
        <v/>
      </c>
      <c r="AD8" s="47" t="str">
        <f t="shared" si="0"/>
        <v/>
      </c>
      <c r="AE8" s="47" t="str">
        <f t="shared" si="0"/>
        <v/>
      </c>
      <c r="AF8" s="47" t="str">
        <f t="shared" si="0"/>
        <v/>
      </c>
      <c r="AG8" s="47" t="str">
        <f t="shared" si="0"/>
        <v/>
      </c>
      <c r="AH8" s="47" t="str">
        <f t="shared" si="0"/>
        <v/>
      </c>
      <c r="AI8" s="47" t="str">
        <f t="shared" si="0"/>
        <v/>
      </c>
      <c r="AJ8" s="47" t="str">
        <f t="shared" si="0"/>
        <v/>
      </c>
      <c r="AK8" s="47" t="str">
        <f t="shared" si="0"/>
        <v/>
      </c>
      <c r="AL8" s="47" t="str">
        <f t="shared" si="0"/>
        <v/>
      </c>
    </row>
    <row r="9" spans="2:38" x14ac:dyDescent="0.3">
      <c r="B9" s="11" t="s">
        <v>43</v>
      </c>
      <c r="C9" s="12" t="s">
        <v>44</v>
      </c>
      <c r="D9" s="3"/>
      <c r="E9" s="3"/>
      <c r="F9" s="16"/>
      <c r="H9" s="48" t="str">
        <f>IF($C$10="Jour",_xlfn.CONCAT("S",WEEKNUM(H11,11)),IF($C$11="Non",_xlfn.CONCAT("M",MONTH(H11)),PROPER(TEXT(H11,"mmm"))))</f>
        <v>S51</v>
      </c>
      <c r="I9" s="43" t="str">
        <f>IF($C$10="Jour",IF(WEEKNUM(I11,11)=WEEKNUM(H11,11),"",_xlfn.CONCAT("S",WEEKNUM(I11,11))),IF($C$11="Non",IF(MONTH(I11)=MONTH(H11),"",_xlfn.CONCAT("M",MONTH(I11))),IF(MONTH(I11)=MONTH(H11),"",PROPER(TEXT(I11,"mmm")))))</f>
        <v/>
      </c>
      <c r="J9" s="43" t="str">
        <f t="shared" ref="J9:AL9" si="1">IF($C$10="Jour",IF(WEEKNUM(J11,11)=WEEKNUM(I11,11),"",_xlfn.CONCAT("S",WEEKNUM(J11,11))),IF($C$11="Non",IF(MONTH(J11)=MONTH(I11),"",_xlfn.CONCAT("M",MONTH(J11))),IF(MONTH(J11)=MONTH(I11),"",PROPER(TEXT(J11,"mmm")))))</f>
        <v/>
      </c>
      <c r="K9" s="43" t="str">
        <f t="shared" si="1"/>
        <v/>
      </c>
      <c r="L9" s="43" t="str">
        <f t="shared" si="1"/>
        <v/>
      </c>
      <c r="M9" s="43" t="str">
        <f t="shared" si="1"/>
        <v/>
      </c>
      <c r="N9" s="43" t="str">
        <f t="shared" si="1"/>
        <v/>
      </c>
      <c r="O9" s="43" t="str">
        <f t="shared" si="1"/>
        <v>S52</v>
      </c>
      <c r="P9" s="43" t="str">
        <f t="shared" si="1"/>
        <v/>
      </c>
      <c r="Q9" s="43" t="str">
        <f t="shared" si="1"/>
        <v/>
      </c>
      <c r="R9" s="43" t="str">
        <f t="shared" si="1"/>
        <v/>
      </c>
      <c r="S9" s="43" t="str">
        <f t="shared" si="1"/>
        <v/>
      </c>
      <c r="T9" s="43" t="str">
        <f t="shared" si="1"/>
        <v/>
      </c>
      <c r="U9" s="43" t="str">
        <f t="shared" si="1"/>
        <v/>
      </c>
      <c r="V9" s="43" t="str">
        <f t="shared" si="1"/>
        <v>S53</v>
      </c>
      <c r="W9" s="43" t="str">
        <f t="shared" si="1"/>
        <v/>
      </c>
      <c r="X9" s="43" t="str">
        <f t="shared" si="1"/>
        <v/>
      </c>
      <c r="Y9" s="43" t="str">
        <f t="shared" si="1"/>
        <v>S1</v>
      </c>
      <c r="Z9" s="43" t="str">
        <f t="shared" si="1"/>
        <v/>
      </c>
      <c r="AA9" s="43" t="str">
        <f t="shared" si="1"/>
        <v/>
      </c>
      <c r="AB9" s="43" t="str">
        <f t="shared" si="1"/>
        <v/>
      </c>
      <c r="AC9" s="43" t="str">
        <f t="shared" si="1"/>
        <v>S2</v>
      </c>
      <c r="AD9" s="43" t="str">
        <f t="shared" si="1"/>
        <v/>
      </c>
      <c r="AE9" s="43" t="str">
        <f t="shared" si="1"/>
        <v/>
      </c>
      <c r="AF9" s="43" t="str">
        <f t="shared" si="1"/>
        <v/>
      </c>
      <c r="AG9" s="43" t="str">
        <f t="shared" si="1"/>
        <v/>
      </c>
      <c r="AH9" s="43" t="str">
        <f t="shared" si="1"/>
        <v/>
      </c>
      <c r="AI9" s="43" t="str">
        <f t="shared" si="1"/>
        <v/>
      </c>
      <c r="AJ9" s="43" t="str">
        <f t="shared" si="1"/>
        <v>S3</v>
      </c>
      <c r="AK9" s="43" t="str">
        <f t="shared" si="1"/>
        <v/>
      </c>
      <c r="AL9" s="43" t="str">
        <f t="shared" si="1"/>
        <v/>
      </c>
    </row>
    <row r="10" spans="2:38" ht="11.95" customHeight="1" x14ac:dyDescent="0.3">
      <c r="B10" s="11" t="s">
        <v>45</v>
      </c>
      <c r="C10" s="12" t="s">
        <v>46</v>
      </c>
      <c r="D10" s="3"/>
      <c r="E10" s="3"/>
      <c r="H10" s="42" t="str">
        <f t="shared" ref="H10:AL10" si="2">IF($C$10="Jour",PROPER(LEFT(TEXT(H11,"jjj"),1)),_xlfn.CONCAT("S",WEEKNUM(H11,21)))</f>
        <v>L</v>
      </c>
      <c r="I10" s="42" t="str">
        <f t="shared" si="2"/>
        <v>M</v>
      </c>
      <c r="J10" s="42" t="str">
        <f t="shared" si="2"/>
        <v>M</v>
      </c>
      <c r="K10" s="42" t="str">
        <f t="shared" si="2"/>
        <v>J</v>
      </c>
      <c r="L10" s="42" t="str">
        <f t="shared" si="2"/>
        <v>V</v>
      </c>
      <c r="M10" s="42" t="str">
        <f t="shared" si="2"/>
        <v>S</v>
      </c>
      <c r="N10" s="42" t="str">
        <f t="shared" si="2"/>
        <v>D</v>
      </c>
      <c r="O10" s="42" t="str">
        <f t="shared" si="2"/>
        <v>L</v>
      </c>
      <c r="P10" s="42" t="str">
        <f t="shared" si="2"/>
        <v>M</v>
      </c>
      <c r="Q10" s="42" t="str">
        <f t="shared" si="2"/>
        <v>M</v>
      </c>
      <c r="R10" s="42" t="str">
        <f t="shared" si="2"/>
        <v>J</v>
      </c>
      <c r="S10" s="42" t="str">
        <f t="shared" si="2"/>
        <v>V</v>
      </c>
      <c r="T10" s="42" t="str">
        <f t="shared" si="2"/>
        <v>S</v>
      </c>
      <c r="U10" s="42" t="str">
        <f t="shared" si="2"/>
        <v>D</v>
      </c>
      <c r="V10" s="42" t="str">
        <f t="shared" si="2"/>
        <v>L</v>
      </c>
      <c r="W10" s="42" t="str">
        <f t="shared" si="2"/>
        <v>M</v>
      </c>
      <c r="X10" s="42" t="str">
        <f t="shared" si="2"/>
        <v>M</v>
      </c>
      <c r="Y10" s="42" t="str">
        <f t="shared" si="2"/>
        <v>J</v>
      </c>
      <c r="Z10" s="42" t="str">
        <f t="shared" si="2"/>
        <v>V</v>
      </c>
      <c r="AA10" s="42" t="str">
        <f t="shared" si="2"/>
        <v>S</v>
      </c>
      <c r="AB10" s="42" t="str">
        <f t="shared" si="2"/>
        <v>D</v>
      </c>
      <c r="AC10" s="42" t="str">
        <f t="shared" si="2"/>
        <v>L</v>
      </c>
      <c r="AD10" s="42" t="str">
        <f t="shared" si="2"/>
        <v>M</v>
      </c>
      <c r="AE10" s="42" t="str">
        <f t="shared" si="2"/>
        <v>M</v>
      </c>
      <c r="AF10" s="42" t="str">
        <f t="shared" si="2"/>
        <v>J</v>
      </c>
      <c r="AG10" s="42" t="str">
        <f t="shared" si="2"/>
        <v>V</v>
      </c>
      <c r="AH10" s="42" t="str">
        <f t="shared" si="2"/>
        <v>S</v>
      </c>
      <c r="AI10" s="42" t="str">
        <f t="shared" si="2"/>
        <v>D</v>
      </c>
      <c r="AJ10" s="42" t="str">
        <f t="shared" si="2"/>
        <v>L</v>
      </c>
      <c r="AK10" s="42" t="str">
        <f t="shared" si="2"/>
        <v>M</v>
      </c>
      <c r="AL10" s="42" t="str">
        <f t="shared" si="2"/>
        <v>M</v>
      </c>
    </row>
    <row r="11" spans="2:38" ht="10.55" customHeight="1" x14ac:dyDescent="0.3">
      <c r="B11" s="1" t="s">
        <v>47</v>
      </c>
      <c r="C11" s="12" t="s">
        <v>48</v>
      </c>
      <c r="D11" s="3"/>
      <c r="E11" s="3"/>
      <c r="H11" s="41">
        <f>Début_projet+Sem_Affichée*7</f>
        <v>46006</v>
      </c>
      <c r="I11" s="41">
        <f>IF($C$10="Jour",H11+1,H11+7)</f>
        <v>46007</v>
      </c>
      <c r="J11" s="41">
        <f t="shared" ref="J11:AL11" si="3">IF($C$10="Jour",I11+1,I11+7)</f>
        <v>46008</v>
      </c>
      <c r="K11" s="41">
        <f t="shared" si="3"/>
        <v>46009</v>
      </c>
      <c r="L11" s="41">
        <f t="shared" si="3"/>
        <v>46010</v>
      </c>
      <c r="M11" s="41">
        <f t="shared" si="3"/>
        <v>46011</v>
      </c>
      <c r="N11" s="41">
        <f t="shared" si="3"/>
        <v>46012</v>
      </c>
      <c r="O11" s="41">
        <f t="shared" si="3"/>
        <v>46013</v>
      </c>
      <c r="P11" s="41">
        <f t="shared" si="3"/>
        <v>46014</v>
      </c>
      <c r="Q11" s="41">
        <f t="shared" si="3"/>
        <v>46015</v>
      </c>
      <c r="R11" s="41">
        <f t="shared" si="3"/>
        <v>46016</v>
      </c>
      <c r="S11" s="41">
        <f t="shared" si="3"/>
        <v>46017</v>
      </c>
      <c r="T11" s="41">
        <f t="shared" si="3"/>
        <v>46018</v>
      </c>
      <c r="U11" s="41">
        <f t="shared" si="3"/>
        <v>46019</v>
      </c>
      <c r="V11" s="41">
        <f t="shared" si="3"/>
        <v>46020</v>
      </c>
      <c r="W11" s="41">
        <f t="shared" si="3"/>
        <v>46021</v>
      </c>
      <c r="X11" s="41">
        <f t="shared" si="3"/>
        <v>46022</v>
      </c>
      <c r="Y11" s="41">
        <f t="shared" si="3"/>
        <v>46023</v>
      </c>
      <c r="Z11" s="41">
        <f t="shared" si="3"/>
        <v>46024</v>
      </c>
      <c r="AA11" s="41">
        <f t="shared" si="3"/>
        <v>46025</v>
      </c>
      <c r="AB11" s="41">
        <f t="shared" si="3"/>
        <v>46026</v>
      </c>
      <c r="AC11" s="41">
        <f t="shared" si="3"/>
        <v>46027</v>
      </c>
      <c r="AD11" s="41">
        <f t="shared" si="3"/>
        <v>46028</v>
      </c>
      <c r="AE11" s="41">
        <f t="shared" si="3"/>
        <v>46029</v>
      </c>
      <c r="AF11" s="41">
        <f t="shared" si="3"/>
        <v>46030</v>
      </c>
      <c r="AG11" s="41">
        <f t="shared" si="3"/>
        <v>46031</v>
      </c>
      <c r="AH11" s="41">
        <f t="shared" si="3"/>
        <v>46032</v>
      </c>
      <c r="AI11" s="41">
        <f t="shared" si="3"/>
        <v>46033</v>
      </c>
      <c r="AJ11" s="41">
        <f t="shared" si="3"/>
        <v>46034</v>
      </c>
      <c r="AK11" s="41">
        <f t="shared" si="3"/>
        <v>46035</v>
      </c>
      <c r="AL11" s="41">
        <f t="shared" si="3"/>
        <v>46036</v>
      </c>
    </row>
    <row r="12" spans="2:38" ht="11.95" customHeight="1" x14ac:dyDescent="0.3">
      <c r="B12" s="24" t="s">
        <v>12</v>
      </c>
      <c r="C12" s="38" t="s">
        <v>49</v>
      </c>
      <c r="D12" s="25" t="s">
        <v>50</v>
      </c>
      <c r="E12" s="25" t="s">
        <v>17</v>
      </c>
      <c r="F12" s="25" t="s">
        <v>51</v>
      </c>
      <c r="G12" s="15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40"/>
      <c r="AK12" s="40"/>
      <c r="AL12" s="40"/>
    </row>
    <row r="13" spans="2:38" ht="11.95" customHeight="1" x14ac:dyDescent="0.3">
      <c r="B13" s="77" t="s">
        <v>52</v>
      </c>
      <c r="C13" s="12"/>
      <c r="D13" s="13"/>
      <c r="E13" s="26"/>
      <c r="F13" s="16"/>
      <c r="G13" s="29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7"/>
      <c r="AK13" s="37"/>
      <c r="AL13" s="37"/>
    </row>
    <row r="14" spans="2:38" ht="15" customHeight="1" x14ac:dyDescent="0.3">
      <c r="B14" s="56" t="str">
        <f>SoW!D20</f>
        <v>Gestion de projet</v>
      </c>
      <c r="C14" s="12" t="s">
        <v>19</v>
      </c>
      <c r="D14" s="13">
        <v>46006</v>
      </c>
      <c r="E14" s="17">
        <v>0.5</v>
      </c>
      <c r="F14" s="16">
        <f>IF(Tableau2[[#This Row],[Durée]]="",0,IF($C$9="Oui",Tableau2[[#This Row],[Début]]+Tableau2[[#This Row],[Durée]]-0.5,WORKDAY(Tableau2[[#This Row],[Début]],Tableau2[[#This Row],[Durée]]-0.5,Tableau4[Jour férié])))</f>
        <v>46006</v>
      </c>
      <c r="G14" s="17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7"/>
      <c r="AK14" s="37"/>
      <c r="AL14" s="37"/>
    </row>
    <row r="15" spans="2:38" x14ac:dyDescent="0.3">
      <c r="B15" s="77" t="s">
        <v>53</v>
      </c>
      <c r="C15" s="12"/>
      <c r="D15" s="13"/>
      <c r="E15" s="17"/>
      <c r="F15" s="16"/>
      <c r="G15" s="17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7"/>
      <c r="AK15" s="37"/>
      <c r="AL15" s="37"/>
    </row>
    <row r="16" spans="2:38" ht="14.25" customHeight="1" x14ac:dyDescent="0.3">
      <c r="B16" s="56" t="str">
        <f>SoW!D21</f>
        <v>Installation physique</v>
      </c>
      <c r="C16" s="12" t="s">
        <v>26</v>
      </c>
      <c r="D16" s="13">
        <f>F14+1</f>
        <v>46007</v>
      </c>
      <c r="E16" s="17">
        <v>1</v>
      </c>
      <c r="F16" s="16">
        <f>IF(Tableau2[[#This Row],[Durée]]="",0,IF($C$9="Oui",Tableau2[[#This Row],[Début]]+Tableau2[[#This Row],[Durée]]-1,WORKDAY(Tableau2[[#This Row],[Début]],Tableau2[[#This Row],[Durée]]-1,Tableau4[Jour férié])))</f>
        <v>46007</v>
      </c>
      <c r="G16" s="17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7"/>
      <c r="AK16" s="37"/>
      <c r="AL16" s="37"/>
    </row>
    <row r="17" spans="2:49" ht="15.7" customHeight="1" x14ac:dyDescent="0.3">
      <c r="B17" s="56" t="str">
        <f>SoW!D22</f>
        <v>Configuration</v>
      </c>
      <c r="C17" s="77" t="s">
        <v>26</v>
      </c>
      <c r="D17" s="13">
        <f>D16+E16</f>
        <v>46008</v>
      </c>
      <c r="E17" s="17">
        <v>2.5</v>
      </c>
      <c r="F17" s="16">
        <f>IF(Tableau2[[#This Row],[Durée]]="",0,IF($C$9="Oui",Tableau2[[#This Row],[Début]]+Tableau2[[#This Row],[Durée]],WORKDAY(Tableau2[[#This Row],[Début]],Tableau2[[#This Row],[Durée]],Tableau4[Jour férié])))</f>
        <v>46010</v>
      </c>
      <c r="G17" s="17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7"/>
      <c r="AK17" s="37"/>
      <c r="AL17" s="37"/>
    </row>
    <row r="18" spans="2:49" ht="15.7" customHeight="1" x14ac:dyDescent="0.3">
      <c r="B18" s="77" t="str">
        <f>SoW!D23</f>
        <v>Test(s) de validation</v>
      </c>
      <c r="C18" s="12" t="s">
        <v>26</v>
      </c>
      <c r="D18" s="13">
        <f>D17+2</f>
        <v>46010</v>
      </c>
      <c r="E18" s="17">
        <v>0.5</v>
      </c>
      <c r="F18" s="16">
        <f>IF(Tableau2[[#This Row],[Durée]]="",0,IF($C$9="Oui",Tableau2[[#This Row],[Début]]+Tableau2[[#This Row],[Durée]]-0.5,WORKDAY(Tableau2[[#This Row],[Début]],Tableau2[[#This Row],[Durée]]-0.5,Tableau4[Jour férié])))</f>
        <v>46010</v>
      </c>
      <c r="G18" s="17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7"/>
      <c r="AK18" s="37"/>
      <c r="AL18" s="37"/>
    </row>
    <row r="19" spans="2:49" x14ac:dyDescent="0.3">
      <c r="B19" s="77" t="s">
        <v>54</v>
      </c>
      <c r="C19" s="12"/>
      <c r="D19" s="13"/>
      <c r="E19" s="17"/>
      <c r="F19" s="16"/>
      <c r="G19" s="17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7"/>
      <c r="AK19" s="37"/>
      <c r="AL19" s="37"/>
    </row>
    <row r="20" spans="2:49" x14ac:dyDescent="0.3">
      <c r="B20" s="56" t="str">
        <f>SoW!D24</f>
        <v>Transfert de compétence</v>
      </c>
      <c r="C20" s="12" t="s">
        <v>55</v>
      </c>
      <c r="D20" s="13">
        <f>F18</f>
        <v>46010</v>
      </c>
      <c r="E20" s="17">
        <v>0.5</v>
      </c>
      <c r="F20" s="16">
        <f>IF(Tableau2[[#This Row],[Durée]]="",0,IF($C$9="Oui",Tableau2[[#This Row],[Début]]+Tableau2[[#This Row],[Durée]]-0.5,WORKDAY(Tableau2[[#This Row],[Début]],Tableau2[[#This Row],[Durée]]-0.5,Tableau4[Jour férié])))</f>
        <v>46010</v>
      </c>
      <c r="G20" s="17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7"/>
      <c r="AK20" s="37"/>
      <c r="AL20" s="37"/>
    </row>
    <row r="21" spans="2:49" x14ac:dyDescent="0.3">
      <c r="C21" s="77"/>
      <c r="D21" s="18"/>
      <c r="E21" s="31">
        <f>SUBTOTAL(109,Tableau2[Durée])</f>
        <v>5</v>
      </c>
      <c r="F21" s="17"/>
    </row>
    <row r="23" spans="2:49" x14ac:dyDescent="0.3">
      <c r="D23" s="16"/>
      <c r="J23" s="21"/>
      <c r="K23" s="104" t="s">
        <v>19</v>
      </c>
      <c r="L23" s="104"/>
      <c r="M23" s="104"/>
      <c r="O23" s="23"/>
      <c r="P23" s="77" t="s">
        <v>26</v>
      </c>
      <c r="U23" s="22"/>
      <c r="V23" s="105" t="s">
        <v>55</v>
      </c>
      <c r="W23" s="105"/>
      <c r="X23" s="105"/>
      <c r="Y23" s="105"/>
      <c r="Z23" s="105"/>
      <c r="AB23" s="35"/>
      <c r="AC23" s="1" t="s">
        <v>56</v>
      </c>
      <c r="AG23" s="34"/>
      <c r="AH23" s="1" t="s">
        <v>57</v>
      </c>
    </row>
    <row r="24" spans="2:49" x14ac:dyDescent="0.3"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2:49" x14ac:dyDescent="0.3">
      <c r="C25" s="13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2:49" x14ac:dyDescent="0.3">
      <c r="E26" s="16"/>
      <c r="H26" s="16"/>
    </row>
    <row r="27" spans="2:49" x14ac:dyDescent="0.3">
      <c r="H27" s="16"/>
      <c r="J27" s="16"/>
    </row>
    <row r="28" spans="2:49" x14ac:dyDescent="0.3">
      <c r="E28" s="16"/>
    </row>
    <row r="29" spans="2:49" x14ac:dyDescent="0.3">
      <c r="C29" s="13"/>
    </row>
    <row r="30" spans="2:49" x14ac:dyDescent="0.3">
      <c r="E30" s="16"/>
      <c r="I30" s="16"/>
    </row>
    <row r="31" spans="2:49" x14ac:dyDescent="0.3">
      <c r="C31" s="13"/>
    </row>
  </sheetData>
  <mergeCells count="4">
    <mergeCell ref="K23:M23"/>
    <mergeCell ref="V23:Z23"/>
    <mergeCell ref="B4:AL4"/>
    <mergeCell ref="B1:D2"/>
  </mergeCells>
  <phoneticPr fontId="3" type="noConversion"/>
  <conditionalFormatting sqref="F21 B13:F20">
    <cfRule type="expression" dxfId="29" priority="72">
      <formula>COUNTIFS($B13,"*Phase*")</formula>
    </cfRule>
  </conditionalFormatting>
  <conditionalFormatting sqref="H8:AL8">
    <cfRule type="expression" dxfId="28" priority="1">
      <formula>AND($C$10="Semaine",H$8="")</formula>
    </cfRule>
    <cfRule type="expression" dxfId="27" priority="25">
      <formula>NOT(H$8="")</formula>
    </cfRule>
  </conditionalFormatting>
  <conditionalFormatting sqref="H8:AL9">
    <cfRule type="expression" dxfId="26" priority="226">
      <formula>AND(H$11&lt;=EOMONTH($H$11,7), H$11&gt;EOMONTH($H$11,6),H$11&gt;EOMONTH($H$11,5),H$11&gt;EOMONTH($H$11,4),H$11&gt;EOMONTH($H$11,3),H$11&gt;EOMONTH($H$11,2),H$11&gt;EOMONTH($H$11,1),H$11&gt;EOMONTH($H$11,0))</formula>
    </cfRule>
    <cfRule type="expression" dxfId="25" priority="227">
      <formula>AND(H$11&lt;=EOMONTH($H$11,6), H$11&gt;EOMONTH($H$11,5),H$11&gt;EOMONTH($H$11,4),H$11&gt;EOMONTH($H$11,3),H$11&gt;EOMONTH($H$11,2),H$11&gt;EOMONTH($H$11,1),H$11&gt;EOMONTH($H$11,0))</formula>
    </cfRule>
    <cfRule type="expression" dxfId="24" priority="228">
      <formula>AND(H$11&lt;=EOMONTH($H$11,5), H$11&gt;EOMONTH($H$11,4),H$11&gt;EOMONTH($H$11,3),H$11&gt;EOMONTH($H$11,2),H$11&gt;EOMONTH($H$11,1),H$11&gt;EOMONTH($H$11,0))</formula>
    </cfRule>
    <cfRule type="expression" dxfId="23" priority="229">
      <formula>AND(H$11&lt;=EOMONTH($H$11,4), H$11&gt;EOMONTH($H$11,3),H$11&gt;EOMONTH($H$11,2),H$11&gt;EOMONTH($H$11,1),H$11&gt;EOMONTH($H$11,0))</formula>
    </cfRule>
    <cfRule type="expression" dxfId="22" priority="230">
      <formula>AND(H$11&lt;=EOMONTH($H$11,3),H$11&gt;EOMONTH($H$11,2),H$11&gt;EOMONTH($H$11,1),H$11&gt;EOMONTH($H$11,0))</formula>
    </cfRule>
    <cfRule type="expression" dxfId="21" priority="231">
      <formula>AND(H$11&lt;=EOMONTH($H$11,2),H$11&gt;EOMONTH($H$11,0),H$11&gt;EOMONTH($H$11,1))</formula>
    </cfRule>
    <cfRule type="expression" dxfId="20" priority="232">
      <formula>AND(H$11&lt;=EOMONTH($H$11,1),H$11&gt;EOMONTH($H$11,0))</formula>
    </cfRule>
    <cfRule type="expression" dxfId="19" priority="233">
      <formula>H$11&lt;=EOMONTH($H$11,0)</formula>
    </cfRule>
  </conditionalFormatting>
  <conditionalFormatting sqref="H9:AL9">
    <cfRule type="expression" dxfId="18" priority="212">
      <formula>COUNTIFS(H$9,"*M*")</formula>
    </cfRule>
    <cfRule type="expression" dxfId="17" priority="213">
      <formula>AND($C$10="Jour",ISODD(WEEKNUM(H$11,11)))</formula>
    </cfRule>
    <cfRule type="expression" dxfId="16" priority="214">
      <formula>AND($C$10="Jour",ISEVEN(WEEKNUM(H$11,11)))</formula>
    </cfRule>
    <cfRule type="expression" dxfId="15" priority="215">
      <formula>COUNTIFS(H$9,"*S*")</formula>
    </cfRule>
    <cfRule type="expression" dxfId="14" priority="216">
      <formula>AND(COUNTIFS(H$9,"*M*"),$C$10="Mois")</formula>
    </cfRule>
    <cfRule type="expression" dxfId="13" priority="217">
      <formula>AND(COUNTIFS(H$9,"*S*"),$C$10="Semaine")</formula>
    </cfRule>
  </conditionalFormatting>
  <conditionalFormatting sqref="H12:AL20">
    <cfRule type="expression" dxfId="12" priority="270">
      <formula>AND($C$10="Jour",AND($C$9="Non",NOT(ISNA(MATCH(H$11,INDIRECT("Tableau4[Jour férié]"),0)))))</formula>
    </cfRule>
    <cfRule type="expression" dxfId="11" priority="271">
      <formula>AND($C$9="Non",(OR(H$10="S",H$10="D")))</formula>
    </cfRule>
    <cfRule type="expression" dxfId="10" priority="272">
      <formula>AND($C$10="Jour",NOT(ISNA(MATCH(H$11,INDIRECT("Tableau4[Jour férié]"),0))))</formula>
    </cfRule>
    <cfRule type="expression" dxfId="9" priority="273">
      <formula>AND($C$9="Oui",(OR(H$10="S",H$10="D")))</formula>
    </cfRule>
    <cfRule type="expression" dxfId="8" priority="274">
      <formula>AND($C12="Post-Implémentation",H$11&gt;=$D12,H$11&lt;=$F12)</formula>
    </cfRule>
    <cfRule type="expression" dxfId="7" priority="275">
      <formula>AND($C12="Implémentation",H$11&gt;=$D12,H$11&lt;=$F12)</formula>
    </cfRule>
    <cfRule type="expression" dxfId="6" priority="276">
      <formula>AND($C12="Préparation",H$11&gt;=$D12,H$11&lt;=$F12)</formula>
    </cfRule>
    <cfRule type="expression" dxfId="5" priority="277">
      <formula>AND(H$11&gt;=$D12,H$11&lt;=$F12)</formula>
    </cfRule>
  </conditionalFormatting>
  <dataValidations disablePrompts="1" count="4">
    <dataValidation type="list" allowBlank="1" showInputMessage="1" showErrorMessage="1" sqref="J27" xr:uid="{3EF6BE2C-8CAA-49FA-B92A-0A589207822D}">
      <formula1>INDIRECT("Tableau4[Jour férié]")</formula1>
    </dataValidation>
    <dataValidation type="list" allowBlank="1" showInputMessage="1" showErrorMessage="1" sqref="C9 C11" xr:uid="{4C063854-C45B-4C26-B1BF-969B5B0514BC}">
      <formula1>"Oui,Non"</formula1>
    </dataValidation>
    <dataValidation type="list" allowBlank="1" showInputMessage="1" showErrorMessage="1" sqref="C9:C11" xr:uid="{74C65358-5531-4C0A-A82F-89FD9021BA98}">
      <formula1>"Jour,Semaine"</formula1>
    </dataValidation>
    <dataValidation type="list" allowBlank="1" showInputMessage="1" showErrorMessage="1" sqref="C13:C20" xr:uid="{C6DFC535-E615-43DF-9AD8-52654FBAEDCB}">
      <formula1>"Préparation, Implémentation, Post-Implémentation"</formula1>
    </dataValidation>
  </dataValidations>
  <pageMargins left="0.25" right="0.25" top="0.75" bottom="0.75" header="0.3" footer="0.3"/>
  <pageSetup paperSize="9" scale="81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63" r:id="rId4" name="Scroll Bar 43">
              <controlPr defaultSize="0" autoPict="0">
                <anchor moveWithCells="1">
                  <from>
                    <xdr:col>7</xdr:col>
                    <xdr:colOff>0</xdr:colOff>
                    <xdr:row>5</xdr:row>
                    <xdr:rowOff>65837</xdr:rowOff>
                  </from>
                  <to>
                    <xdr:col>37</xdr:col>
                    <xdr:colOff>219456</xdr:colOff>
                    <xdr:row>5</xdr:row>
                    <xdr:rowOff>204826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/>
  <dimension ref="B3:K19"/>
  <sheetViews>
    <sheetView showGridLines="0" zoomScaleNormal="100" workbookViewId="0">
      <selection activeCell="B7" sqref="B7"/>
    </sheetView>
  </sheetViews>
  <sheetFormatPr baseColWidth="10" defaultColWidth="5.59765625" defaultRowHeight="10.4" x14ac:dyDescent="0.3"/>
  <cols>
    <col min="1" max="1" width="5.59765625" style="1"/>
    <col min="2" max="2" width="18.09765625" style="1" bestFit="1" customWidth="1"/>
    <col min="3" max="3" width="5.59765625" style="1"/>
    <col min="4" max="4" width="13.69921875" style="1" bestFit="1" customWidth="1"/>
    <col min="5" max="5" width="5.59765625" style="1"/>
    <col min="6" max="6" width="17.09765625" style="1" bestFit="1" customWidth="1"/>
    <col min="7" max="7" width="5.59765625" style="1" customWidth="1"/>
    <col min="8" max="8" width="17.09765625" style="1" customWidth="1"/>
    <col min="9" max="9" width="5.59765625" style="1"/>
    <col min="10" max="10" width="19.3984375" style="1" bestFit="1" customWidth="1"/>
    <col min="11" max="11" width="27.09765625" style="1" bestFit="1" customWidth="1"/>
    <col min="12" max="16384" width="5.59765625" style="1"/>
  </cols>
  <sheetData>
    <row r="3" spans="2:11" x14ac:dyDescent="0.3">
      <c r="B3" s="14" t="s">
        <v>58</v>
      </c>
      <c r="C3" s="14"/>
      <c r="D3" s="14" t="s">
        <v>26</v>
      </c>
      <c r="E3" s="14"/>
      <c r="F3" s="14" t="s">
        <v>32</v>
      </c>
      <c r="G3" s="14"/>
      <c r="H3" s="14" t="s">
        <v>59</v>
      </c>
      <c r="J3" s="1" t="s">
        <v>57</v>
      </c>
      <c r="K3" s="1" t="s">
        <v>13</v>
      </c>
    </row>
    <row r="4" spans="2:11" x14ac:dyDescent="0.3">
      <c r="B4" s="1" t="s">
        <v>20</v>
      </c>
      <c r="D4" s="52" t="s">
        <v>28</v>
      </c>
      <c r="F4" s="52" t="s">
        <v>33</v>
      </c>
      <c r="H4" s="1" t="s">
        <v>19</v>
      </c>
      <c r="J4" s="19">
        <v>45658</v>
      </c>
      <c r="K4" s="20" t="s">
        <v>60</v>
      </c>
    </row>
    <row r="5" spans="2:11" x14ac:dyDescent="0.3">
      <c r="B5" s="1" t="s">
        <v>23</v>
      </c>
      <c r="D5" s="1" t="s">
        <v>27</v>
      </c>
      <c r="F5" s="1" t="s">
        <v>61</v>
      </c>
      <c r="H5" s="1" t="s">
        <v>62</v>
      </c>
      <c r="J5" s="19">
        <v>45724</v>
      </c>
      <c r="K5" s="20" t="s">
        <v>63</v>
      </c>
    </row>
    <row r="6" spans="2:11" x14ac:dyDescent="0.3">
      <c r="B6" s="1" t="s">
        <v>64</v>
      </c>
      <c r="D6" s="1" t="s">
        <v>29</v>
      </c>
      <c r="F6" s="1" t="s">
        <v>35</v>
      </c>
      <c r="H6" s="1" t="s">
        <v>65</v>
      </c>
      <c r="J6" s="19">
        <v>45745</v>
      </c>
      <c r="K6" s="20" t="s">
        <v>66</v>
      </c>
    </row>
    <row r="7" spans="2:11" x14ac:dyDescent="0.3">
      <c r="B7" s="1" t="s">
        <v>62</v>
      </c>
      <c r="D7" s="1" t="s">
        <v>30</v>
      </c>
      <c r="H7" s="1" t="s">
        <v>67</v>
      </c>
      <c r="J7" s="19">
        <v>45747</v>
      </c>
      <c r="K7" s="20" t="s">
        <v>68</v>
      </c>
    </row>
    <row r="8" spans="2:11" x14ac:dyDescent="0.3">
      <c r="B8" s="1" t="s">
        <v>69</v>
      </c>
      <c r="D8" s="1" t="s">
        <v>35</v>
      </c>
      <c r="H8" s="1" t="s">
        <v>35</v>
      </c>
      <c r="J8" s="19">
        <v>45767</v>
      </c>
      <c r="K8" s="20" t="s">
        <v>70</v>
      </c>
    </row>
    <row r="9" spans="2:11" x14ac:dyDescent="0.3">
      <c r="B9" s="1" t="s">
        <v>71</v>
      </c>
      <c r="J9" s="19">
        <v>45768</v>
      </c>
      <c r="K9" s="20" t="s">
        <v>72</v>
      </c>
    </row>
    <row r="10" spans="2:11" x14ac:dyDescent="0.3">
      <c r="B10" s="1" t="s">
        <v>73</v>
      </c>
      <c r="J10" s="19">
        <v>45778</v>
      </c>
      <c r="K10" s="20" t="s">
        <v>74</v>
      </c>
    </row>
    <row r="11" spans="2:11" x14ac:dyDescent="0.3">
      <c r="B11" s="1" t="s">
        <v>75</v>
      </c>
      <c r="J11" s="19">
        <v>45806</v>
      </c>
      <c r="K11" s="20" t="s">
        <v>76</v>
      </c>
    </row>
    <row r="12" spans="2:11" x14ac:dyDescent="0.3">
      <c r="J12" s="19">
        <v>45816</v>
      </c>
      <c r="K12" s="20" t="s">
        <v>77</v>
      </c>
    </row>
    <row r="13" spans="2:11" x14ac:dyDescent="0.3">
      <c r="J13" s="19">
        <v>45817</v>
      </c>
      <c r="K13" s="20" t="s">
        <v>78</v>
      </c>
    </row>
    <row r="14" spans="2:11" x14ac:dyDescent="0.3">
      <c r="J14" s="19">
        <v>45834</v>
      </c>
      <c r="K14" s="20" t="s">
        <v>79</v>
      </c>
    </row>
    <row r="15" spans="2:11" x14ac:dyDescent="0.3">
      <c r="B15" s="1" t="s">
        <v>80</v>
      </c>
      <c r="J15" s="19">
        <v>45884</v>
      </c>
      <c r="K15" s="20" t="s">
        <v>81</v>
      </c>
    </row>
    <row r="16" spans="2:11" x14ac:dyDescent="0.3">
      <c r="B16" s="1" t="s">
        <v>19</v>
      </c>
      <c r="J16" s="19">
        <v>45962</v>
      </c>
      <c r="K16" s="20" t="s">
        <v>82</v>
      </c>
    </row>
    <row r="17" spans="2:11" x14ac:dyDescent="0.3">
      <c r="B17" s="1" t="s">
        <v>26</v>
      </c>
      <c r="J17" s="19">
        <v>46016</v>
      </c>
      <c r="K17" s="20" t="s">
        <v>83</v>
      </c>
    </row>
    <row r="18" spans="2:11" x14ac:dyDescent="0.3">
      <c r="B18" s="1" t="s">
        <v>32</v>
      </c>
    </row>
    <row r="19" spans="2:11" x14ac:dyDescent="0.3">
      <c r="B19" s="1" t="s">
        <v>59</v>
      </c>
    </row>
  </sheetData>
  <phoneticPr fontId="3" type="noConversion"/>
  <pageMargins left="0.7" right="0.7" top="0.75" bottom="0.75" header="0.3" footer="0.3"/>
  <pageSetup paperSize="9" scale="62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13</vt:i4>
      </vt:variant>
    </vt:vector>
  </HeadingPairs>
  <TitlesOfParts>
    <vt:vector size="16" baseType="lpstr">
      <vt:lpstr>SoW</vt:lpstr>
      <vt:lpstr>Calendrier</vt:lpstr>
      <vt:lpstr>Base de données</vt:lpstr>
      <vt:lpstr>Audit</vt:lpstr>
      <vt:lpstr>SoW!Début_Projet</vt:lpstr>
      <vt:lpstr>Début_projet</vt:lpstr>
      <vt:lpstr>Férié</vt:lpstr>
      <vt:lpstr>Implémentation</vt:lpstr>
      <vt:lpstr>SoW!Impression_des_titres</vt:lpstr>
      <vt:lpstr>SoW!Incrément_de_défilement</vt:lpstr>
      <vt:lpstr>Post_Implémentation</vt:lpstr>
      <vt:lpstr>Préparation</vt:lpstr>
      <vt:lpstr>Sem_Affichée</vt:lpstr>
      <vt:lpstr>'Base de données'!Zone_d_impression</vt:lpstr>
      <vt:lpstr>Calendrier!Zone_d_impression</vt:lpstr>
      <vt:lpstr>SoW!Zone_d_impression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Solondrainy Tsinjo</cp:lastModifiedBy>
  <cp:revision/>
  <dcterms:created xsi:type="dcterms:W3CDTF">2021-10-23T06:51:43Z</dcterms:created>
  <dcterms:modified xsi:type="dcterms:W3CDTF">2025-12-04T11:19:57Z</dcterms:modified>
  <cp:category/>
  <cp:contentStatus/>
</cp:coreProperties>
</file>
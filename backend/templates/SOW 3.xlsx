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.xml" ContentType="application/vnd.ms-excel.rdrichvalue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H445\Downloads\"/>
    </mc:Choice>
  </mc:AlternateContent>
  <xr:revisionPtr revIDLastSave="0" documentId="13_ncr:1_{683E2AB4-610D-4DA2-8F7D-1708DF2A3AF5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oW" sheetId="4" r:id="rId1"/>
    <sheet name="Calendrier" sheetId="7" r:id="rId2"/>
    <sheet name="Base de données" sheetId="1" r:id="rId3"/>
  </sheets>
  <definedNames>
    <definedName name="_xlnm._FilterDatabase" localSheetId="2" hidden="1">'Base de données'!#REF!</definedName>
    <definedName name="Audit">Tableau117[Audit]</definedName>
    <definedName name="Début_Projet" localSheetId="0">SoW!$C$6</definedName>
    <definedName name="Début_projet">Calendrier!$C$8</definedName>
    <definedName name="Férié">Tableau4[Jour férié]</definedName>
    <definedName name="Implémentation">Tableau10[Implémentation]</definedName>
    <definedName name="_xlnm.Print_Titles" localSheetId="0">SoW!$18:$19</definedName>
    <definedName name="Incrément_de_défilement" localSheetId="0">SoW!$C$7</definedName>
    <definedName name="Post_Implémentation">Tableau11[Post_Implémentation]</definedName>
    <definedName name="Préparation">Tableau8[Préparation / Conception]</definedName>
    <definedName name="Sem_Affichée">Calendrier!$C$7</definedName>
    <definedName name="_xlnm.Print_Area" localSheetId="2">'Base de données'!$A$1:$B$2</definedName>
    <definedName name="_xlnm.Print_Area" localSheetId="1">Calendrier!$B$1:$AL$30</definedName>
    <definedName name="_xlnm.Print_Area" localSheetId="0">SoW!$B$1:$I$35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1" i="7" l="1"/>
  <c r="B119" i="7"/>
  <c r="B118" i="7"/>
  <c r="F119" i="7"/>
  <c r="D121" i="7" s="1"/>
  <c r="F121" i="7" s="1"/>
  <c r="D119" i="7"/>
  <c r="F118" i="7"/>
  <c r="B116" i="7"/>
  <c r="B114" i="7"/>
  <c r="B113" i="7"/>
  <c r="F114" i="7"/>
  <c r="D116" i="7" s="1"/>
  <c r="F116" i="7" s="1"/>
  <c r="D114" i="7"/>
  <c r="F113" i="7"/>
  <c r="B111" i="7"/>
  <c r="B109" i="7"/>
  <c r="B108" i="7"/>
  <c r="D109" i="7"/>
  <c r="F109" i="7" s="1"/>
  <c r="D111" i="7" s="1"/>
  <c r="F111" i="7" s="1"/>
  <c r="F108" i="7"/>
  <c r="B106" i="7"/>
  <c r="B104" i="7"/>
  <c r="B103" i="7"/>
  <c r="D104" i="7"/>
  <c r="F104" i="7" s="1"/>
  <c r="D106" i="7" s="1"/>
  <c r="F106" i="7" s="1"/>
  <c r="F103" i="7"/>
  <c r="B101" i="7"/>
  <c r="B99" i="7"/>
  <c r="B98" i="7"/>
  <c r="D99" i="7"/>
  <c r="F99" i="7" s="1"/>
  <c r="D101" i="7" s="1"/>
  <c r="F101" i="7" s="1"/>
  <c r="F98" i="7"/>
  <c r="B96" i="7"/>
  <c r="B94" i="7"/>
  <c r="B93" i="7"/>
  <c r="D94" i="7"/>
  <c r="F94" i="7" s="1"/>
  <c r="D96" i="7" s="1"/>
  <c r="F96" i="7" s="1"/>
  <c r="F93" i="7"/>
  <c r="B91" i="7"/>
  <c r="B89" i="7"/>
  <c r="B88" i="7"/>
  <c r="D89" i="7"/>
  <c r="F89" i="7" s="1"/>
  <c r="D91" i="7" s="1"/>
  <c r="F91" i="7" s="1"/>
  <c r="F88" i="7"/>
  <c r="B86" i="7"/>
  <c r="B84" i="7"/>
  <c r="B83" i="7"/>
  <c r="D84" i="7"/>
  <c r="F84" i="7" s="1"/>
  <c r="D86" i="7" s="1"/>
  <c r="F86" i="7" s="1"/>
  <c r="F83" i="7"/>
  <c r="B81" i="7"/>
  <c r="B79" i="7"/>
  <c r="B78" i="7"/>
  <c r="D79" i="7"/>
  <c r="F79" i="7" s="1"/>
  <c r="D81" i="7" s="1"/>
  <c r="F81" i="7" s="1"/>
  <c r="F78" i="7"/>
  <c r="B76" i="7"/>
  <c r="B74" i="7"/>
  <c r="B73" i="7"/>
  <c r="F74" i="7"/>
  <c r="D76" i="7" s="1"/>
  <c r="F76" i="7" s="1"/>
  <c r="D74" i="7"/>
  <c r="F73" i="7"/>
  <c r="B71" i="7"/>
  <c r="B69" i="7"/>
  <c r="B68" i="7"/>
  <c r="D69" i="7"/>
  <c r="F69" i="7" s="1"/>
  <c r="D71" i="7" s="1"/>
  <c r="F71" i="7" s="1"/>
  <c r="F68" i="7"/>
  <c r="B66" i="7"/>
  <c r="B64" i="7"/>
  <c r="B63" i="7"/>
  <c r="D64" i="7"/>
  <c r="F64" i="7" s="1"/>
  <c r="D66" i="7" s="1"/>
  <c r="F66" i="7" s="1"/>
  <c r="F63" i="7"/>
  <c r="D59" i="7"/>
  <c r="B61" i="7"/>
  <c r="B59" i="7"/>
  <c r="B58" i="7"/>
  <c r="F59" i="7"/>
  <c r="D61" i="7" s="1"/>
  <c r="F61" i="7" s="1"/>
  <c r="F58" i="7"/>
  <c r="B56" i="7"/>
  <c r="B54" i="7"/>
  <c r="B53" i="7"/>
  <c r="D54" i="7"/>
  <c r="F54" i="7" s="1"/>
  <c r="D56" i="7" s="1"/>
  <c r="F56" i="7" s="1"/>
  <c r="F53" i="7"/>
  <c r="B51" i="7"/>
  <c r="B49" i="7"/>
  <c r="B48" i="7"/>
  <c r="D49" i="7"/>
  <c r="F49" i="7" s="1"/>
  <c r="D51" i="7" s="1"/>
  <c r="F51" i="7" s="1"/>
  <c r="F48" i="7"/>
  <c r="B46" i="7"/>
  <c r="B44" i="7"/>
  <c r="B43" i="7"/>
  <c r="D44" i="7"/>
  <c r="F44" i="7" s="1"/>
  <c r="D46" i="7" s="1"/>
  <c r="F46" i="7" s="1"/>
  <c r="F43" i="7"/>
  <c r="B41" i="7"/>
  <c r="B39" i="7"/>
  <c r="B38" i="7"/>
  <c r="D39" i="7"/>
  <c r="F39" i="7" s="1"/>
  <c r="D41" i="7" s="1"/>
  <c r="F41" i="7" s="1"/>
  <c r="F38" i="7"/>
  <c r="B36" i="7"/>
  <c r="B34" i="7"/>
  <c r="B33" i="7"/>
  <c r="D34" i="7"/>
  <c r="F34" i="7" s="1"/>
  <c r="D36" i="7" s="1"/>
  <c r="F36" i="7" s="1"/>
  <c r="F33" i="7"/>
  <c r="B31" i="7"/>
  <c r="B29" i="7"/>
  <c r="B28" i="7"/>
  <c r="D29" i="7"/>
  <c r="F29" i="7" s="1"/>
  <c r="D31" i="7" s="1"/>
  <c r="F31" i="7" s="1"/>
  <c r="F28" i="7"/>
  <c r="B19" i="7"/>
  <c r="B18" i="7"/>
  <c r="B21" i="7"/>
  <c r="C8" i="7"/>
  <c r="E122" i="7"/>
  <c r="D15" i="7"/>
  <c r="B16" i="7"/>
  <c r="B15" i="7"/>
  <c r="F14" i="7"/>
  <c r="B26" i="7"/>
  <c r="B24" i="7"/>
  <c r="B23" i="7"/>
  <c r="B14" i="7"/>
  <c r="F15" i="7" l="1"/>
  <c r="D16" i="7" s="1"/>
  <c r="F16" i="7" s="1"/>
  <c r="D18" i="7" s="1"/>
  <c r="D19" i="7" l="1"/>
  <c r="F19" i="7" s="1"/>
  <c r="D21" i="7" s="1"/>
  <c r="F21" i="7" s="1"/>
  <c r="F18" i="7"/>
  <c r="H11" i="7"/>
  <c r="H9" i="7" s="1" a="1"/>
  <c r="H9" i="7" s="1"/>
  <c r="H8" i="7" l="1"/>
  <c r="H10" i="7"/>
  <c r="I11" i="7"/>
  <c r="B1" i="7"/>
  <c r="I9" i="7" l="1"/>
  <c r="I8" i="7"/>
  <c r="J11" i="7"/>
  <c r="I10" i="7"/>
  <c r="J9" i="7" l="1"/>
  <c r="J8" i="7"/>
  <c r="J10" i="7"/>
  <c r="K11" i="7"/>
  <c r="K9" i="7" l="1"/>
  <c r="K8" i="7"/>
  <c r="K10" i="7"/>
  <c r="L11" i="7"/>
  <c r="L9" i="7" l="1"/>
  <c r="L8" i="7"/>
  <c r="M11" i="7"/>
  <c r="L10" i="7"/>
  <c r="M9" i="7" l="1"/>
  <c r="M8" i="7"/>
  <c r="M10" i="7"/>
  <c r="N11" i="7"/>
  <c r="N9" i="7" l="1"/>
  <c r="N8" i="7"/>
  <c r="N10" i="7"/>
  <c r="O11" i="7"/>
  <c r="O9" i="7" s="1" a="1"/>
  <c r="O9" i="7" s="1"/>
  <c r="O8" i="7" l="1"/>
  <c r="P11" i="7"/>
  <c r="O10" i="7"/>
  <c r="P9" i="7" l="1"/>
  <c r="P8" i="7"/>
  <c r="P10" i="7"/>
  <c r="Q11" i="7"/>
  <c r="Q9" i="7" l="1"/>
  <c r="Q8" i="7"/>
  <c r="Q10" i="7"/>
  <c r="R11" i="7"/>
  <c r="R9" i="7" l="1"/>
  <c r="R8" i="7"/>
  <c r="R10" i="7"/>
  <c r="S11" i="7"/>
  <c r="S9" i="7" l="1"/>
  <c r="S8" i="7"/>
  <c r="S10" i="7"/>
  <c r="T11" i="7"/>
  <c r="T9" i="7" l="1"/>
  <c r="T8" i="7"/>
  <c r="T10" i="7"/>
  <c r="U11" i="7"/>
  <c r="U9" i="7" l="1"/>
  <c r="U8" i="7"/>
  <c r="U10" i="7"/>
  <c r="V11" i="7"/>
  <c r="V9" i="7" l="1"/>
  <c r="V8" i="7"/>
  <c r="V10" i="7"/>
  <c r="W11" i="7"/>
  <c r="W9" i="7" l="1"/>
  <c r="W8" i="7"/>
  <c r="X11" i="7"/>
  <c r="W10" i="7"/>
  <c r="X9" i="7" l="1"/>
  <c r="X8" i="7"/>
  <c r="X10" i="7"/>
  <c r="Y11" i="7"/>
  <c r="Y9" i="7" l="1"/>
  <c r="Y8" i="7"/>
  <c r="Y10" i="7"/>
  <c r="Z11" i="7"/>
  <c r="Z9" i="7" l="1"/>
  <c r="Z8" i="7"/>
  <c r="Z10" i="7"/>
  <c r="AA11" i="7"/>
  <c r="AA9" i="7" l="1"/>
  <c r="AA8" i="7"/>
  <c r="AA10" i="7"/>
  <c r="AB11" i="7"/>
  <c r="AB9" i="7" l="1"/>
  <c r="AB8" i="7"/>
  <c r="AB10" i="7"/>
  <c r="AC11" i="7"/>
  <c r="AC9" i="7" l="1"/>
  <c r="AC8" i="7"/>
  <c r="AC10" i="7"/>
  <c r="AD11" i="7"/>
  <c r="AD9" i="7" l="1"/>
  <c r="AD8" i="7"/>
  <c r="AD10" i="7"/>
  <c r="AE11" i="7"/>
  <c r="AE9" i="7" l="1"/>
  <c r="AE8" i="7"/>
  <c r="AE10" i="7"/>
  <c r="AF11" i="7"/>
  <c r="AF9" i="7" l="1"/>
  <c r="AF8" i="7"/>
  <c r="AF10" i="7"/>
  <c r="AG11" i="7"/>
  <c r="AG9" i="7" l="1"/>
  <c r="AG8" i="7"/>
  <c r="AG10" i="7"/>
  <c r="AH11" i="7"/>
  <c r="AH9" i="7" l="1"/>
  <c r="AH8" i="7"/>
  <c r="AH10" i="7"/>
  <c r="AI11" i="7"/>
  <c r="AI9" i="7" l="1"/>
  <c r="AI8" i="7"/>
  <c r="AJ11" i="7"/>
  <c r="AI10" i="7"/>
  <c r="AJ9" i="7" l="1"/>
  <c r="AJ8" i="7"/>
  <c r="AJ10" i="7"/>
  <c r="AK11" i="7"/>
  <c r="AK9" i="7" l="1"/>
  <c r="AK8" i="7"/>
  <c r="AK10" i="7"/>
  <c r="AL11" i="7"/>
  <c r="AM11" i="7" s="1"/>
  <c r="AN11" i="7" l="1"/>
  <c r="AM8" i="7"/>
  <c r="AM9" i="7"/>
  <c r="AM10" i="7"/>
  <c r="AL9" i="7"/>
  <c r="AL8" i="7"/>
  <c r="AL10" i="7"/>
  <c r="AN9" i="7" l="1"/>
  <c r="AN8" i="7"/>
  <c r="AO11" i="7"/>
  <c r="AN10" i="7"/>
  <c r="AP11" i="7" l="1"/>
  <c r="AO10" i="7"/>
  <c r="AO9" i="7"/>
  <c r="AO8" i="7"/>
  <c r="F23" i="7"/>
  <c r="D24" i="7"/>
  <c r="F24" i="7" s="1"/>
  <c r="D26" i="7" s="1"/>
  <c r="F26" i="7" s="1"/>
  <c r="AP10" i="7" l="1"/>
  <c r="AP8" i="7"/>
  <c r="AP9" i="7"/>
  <c r="AQ11" i="7"/>
  <c r="AQ9" i="7" s="1" a="1"/>
  <c r="AQ9" i="7" s="1"/>
  <c r="AR11" i="7" l="1"/>
  <c r="AQ8" i="7"/>
  <c r="AQ10" i="7"/>
  <c r="AS11" i="7" l="1"/>
  <c r="AR8" i="7"/>
  <c r="AR10" i="7"/>
  <c r="AR9" i="7"/>
  <c r="AT11" i="7" l="1"/>
  <c r="AU11" i="7" s="1"/>
  <c r="AS10" i="7"/>
  <c r="AS9" i="7"/>
  <c r="AS8" i="7"/>
  <c r="AU10" i="7" l="1"/>
  <c r="AU8" i="7"/>
  <c r="AV11" i="7"/>
  <c r="AU9" i="7"/>
  <c r="AT10" i="7"/>
  <c r="AT9" i="7"/>
  <c r="AT8" i="7"/>
  <c r="AW11" i="7" l="1"/>
  <c r="AV9" i="7"/>
  <c r="AV10" i="7"/>
  <c r="AV8" i="7"/>
  <c r="AX11" i="7" l="1"/>
  <c r="AW8" i="7"/>
  <c r="AW9" i="7"/>
  <c r="AW10" i="7"/>
  <c r="AY11" i="7" l="1"/>
  <c r="AX9" i="7"/>
  <c r="AX8" i="7"/>
  <c r="AX10" i="7"/>
  <c r="AY9" i="7" l="1"/>
  <c r="AZ11" i="7"/>
  <c r="AY10" i="7"/>
  <c r="AY8" i="7"/>
  <c r="BA11" i="7" l="1"/>
  <c r="AZ9" i="7"/>
  <c r="AZ10" i="7"/>
  <c r="AZ8" i="7"/>
  <c r="BB11" i="7" l="1"/>
  <c r="BA8" i="7"/>
  <c r="BA9" i="7"/>
  <c r="BA10" i="7"/>
  <c r="BC11" i="7" l="1"/>
  <c r="BB9" i="7"/>
  <c r="BB8" i="7"/>
  <c r="BB10" i="7"/>
  <c r="BC9" i="7" l="1"/>
  <c r="BD11" i="7"/>
  <c r="BC10" i="7"/>
  <c r="BC8" i="7"/>
  <c r="BE11" i="7" l="1"/>
  <c r="BF11" i="7" s="1"/>
  <c r="BD10" i="7"/>
  <c r="BD9" i="7"/>
  <c r="BD8" i="7"/>
  <c r="BG11" i="7" l="1"/>
  <c r="BF10" i="7"/>
  <c r="BF9" i="7" a="1"/>
  <c r="BF9" i="7" s="1"/>
  <c r="BF8" i="7"/>
  <c r="BE9" i="7" a="1"/>
  <c r="BE9" i="7" s="1"/>
  <c r="BE10" i="7"/>
  <c r="BE8" i="7"/>
  <c r="BG8" i="7" l="1"/>
  <c r="BG9" i="7" a="1"/>
  <c r="BG9" i="7" s="1"/>
  <c r="BH11" i="7"/>
  <c r="BG10" i="7"/>
  <c r="BI11" i="7" l="1"/>
  <c r="BH10" i="7"/>
  <c r="BH8" i="7"/>
  <c r="BH9" i="7" a="1"/>
  <c r="BH9" i="7" s="1"/>
  <c r="BI8" i="7" l="1"/>
  <c r="BI9" i="7" a="1"/>
  <c r="BI9" i="7" s="1"/>
  <c r="BI10" i="7"/>
  <c r="BJ11" i="7"/>
  <c r="BJ9" i="7" l="1" a="1"/>
  <c r="BJ9" i="7" s="1"/>
  <c r="BJ8" i="7"/>
  <c r="BK11" i="7"/>
  <c r="BJ10" i="7"/>
  <c r="BL11" i="7" l="1"/>
  <c r="BK9" i="7" a="1"/>
  <c r="BK9" i="7" s="1"/>
  <c r="BK8" i="7"/>
  <c r="BK10" i="7"/>
  <c r="BM11" i="7" l="1"/>
  <c r="BL8" i="7"/>
  <c r="BL9" i="7" a="1"/>
  <c r="BL9" i="7" s="1"/>
  <c r="BL10" i="7"/>
  <c r="BN11" i="7" l="1"/>
  <c r="BM10" i="7"/>
  <c r="BM8" i="7"/>
  <c r="BM9" i="7" a="1"/>
  <c r="BM9" i="7" s="1"/>
  <c r="BO11" i="7" l="1"/>
  <c r="BN9" i="7" a="1"/>
  <c r="BN9" i="7" s="1"/>
  <c r="BN10" i="7"/>
  <c r="BN8" i="7"/>
  <c r="BO10" i="7" l="1"/>
  <c r="BO8" i="7"/>
  <c r="BO9" i="7" a="1"/>
  <c r="BO9" i="7" s="1"/>
  <c r="BP11" i="7"/>
  <c r="BQ11" i="7" l="1"/>
  <c r="BP8" i="7"/>
  <c r="BP10" i="7"/>
  <c r="BP9" i="7" a="1"/>
  <c r="BP9" i="7" s="1"/>
  <c r="BQ9" i="7" l="1" a="1"/>
  <c r="BQ9" i="7" s="1"/>
  <c r="BQ8" i="7"/>
  <c r="BQ10" i="7"/>
  <c r="BR11" i="7"/>
  <c r="BS11" i="7" l="1"/>
  <c r="BR8" i="7"/>
  <c r="BR10" i="7"/>
  <c r="BR9" i="7" a="1"/>
  <c r="BR9" i="7" s="1"/>
  <c r="BT11" i="7" l="1"/>
  <c r="BS10" i="7"/>
  <c r="BS8" i="7"/>
  <c r="BS9" i="7" a="1"/>
  <c r="BS9" i="7" s="1"/>
  <c r="BU11" i="7" l="1"/>
  <c r="BT8" i="7"/>
  <c r="BT9" i="7" a="1"/>
  <c r="BT9" i="7" s="1"/>
  <c r="BT10" i="7"/>
  <c r="BV11" i="7" l="1"/>
  <c r="BW11" i="7" s="1"/>
  <c r="BU10" i="7"/>
  <c r="BU8" i="7"/>
  <c r="BU9" i="7" a="1"/>
  <c r="BU9" i="7" s="1"/>
  <c r="BW8" i="7" l="1"/>
  <c r="BW10" i="7"/>
  <c r="BX11" i="7"/>
  <c r="BW9" i="7" a="1"/>
  <c r="BW9" i="7" s="1"/>
  <c r="BV10" i="7"/>
  <c r="BV8" i="7"/>
  <c r="BV9" i="7" a="1"/>
  <c r="BV9" i="7" s="1"/>
  <c r="BX10" i="7" l="1"/>
  <c r="BX8" i="7"/>
  <c r="BY11" i="7"/>
  <c r="BX9" i="7" a="1"/>
  <c r="BX9" i="7" s="1"/>
  <c r="BY8" i="7" l="1"/>
  <c r="BY10" i="7"/>
  <c r="BY9" i="7" a="1"/>
  <c r="BY9" i="7" s="1"/>
  <c r="BZ11" i="7"/>
  <c r="CA11" i="7" l="1"/>
  <c r="BZ9" i="7" a="1"/>
  <c r="BZ9" i="7" s="1"/>
  <c r="BZ8" i="7"/>
  <c r="BZ10" i="7"/>
  <c r="CA8" i="7" l="1"/>
  <c r="CB11" i="7"/>
  <c r="CA9" i="7" a="1"/>
  <c r="CA9" i="7" s="1"/>
  <c r="CA10" i="7"/>
  <c r="CB10" i="7" l="1"/>
  <c r="CB9" i="7" a="1"/>
  <c r="CB9" i="7" s="1"/>
  <c r="CC11" i="7"/>
  <c r="CB8" i="7"/>
  <c r="CC8" i="7" l="1"/>
  <c r="CC10" i="7"/>
  <c r="CC9" i="7" a="1"/>
  <c r="CC9" i="7" s="1"/>
  <c r="CD11" i="7"/>
  <c r="CE11" i="7" l="1"/>
  <c r="CD9" i="7" a="1"/>
  <c r="CD9" i="7" s="1"/>
  <c r="CD8" i="7"/>
  <c r="CD10" i="7"/>
  <c r="CE8" i="7" l="1"/>
  <c r="CF11" i="7"/>
  <c r="CE9" i="7" a="1"/>
  <c r="CE9" i="7" s="1"/>
  <c r="CE10" i="7"/>
  <c r="CF10" i="7" l="1"/>
  <c r="CF9" i="7" a="1"/>
  <c r="CF9" i="7" s="1"/>
  <c r="CG11" i="7"/>
  <c r="CF8" i="7"/>
  <c r="CG8" i="7" l="1"/>
  <c r="CH11" i="7"/>
  <c r="CG10" i="7"/>
  <c r="CG9" i="7" a="1"/>
  <c r="CG9" i="7" s="1"/>
  <c r="CI11" i="7" l="1"/>
  <c r="CJ11" i="7" s="1"/>
  <c r="CH10" i="7"/>
  <c r="CH9" i="7" a="1"/>
  <c r="CH9" i="7" s="1"/>
  <c r="CH8" i="7"/>
  <c r="CK11" i="7" l="1"/>
  <c r="CJ10" i="7"/>
  <c r="CJ9" i="7" a="1"/>
  <c r="CJ9" i="7" s="1"/>
  <c r="CJ8" i="7"/>
  <c r="CI8" i="7"/>
  <c r="CI10" i="7"/>
  <c r="CI9" i="7" a="1"/>
  <c r="CI9" i="7" s="1"/>
  <c r="CK8" i="7" l="1"/>
  <c r="CK9" i="7" a="1"/>
  <c r="CK9" i="7" s="1"/>
  <c r="CK10" i="7"/>
  <c r="CL11" i="7"/>
  <c r="CL10" i="7" l="1"/>
  <c r="CL9" i="7" a="1"/>
  <c r="CL9" i="7" s="1"/>
  <c r="CL8" i="7"/>
  <c r="CM11" i="7"/>
  <c r="CM10" i="7" l="1"/>
  <c r="CM9" i="7" a="1"/>
  <c r="CM9" i="7" s="1"/>
  <c r="CM8" i="7"/>
  <c r="CN11" i="7"/>
  <c r="CO11" i="7" l="1"/>
  <c r="CN9" i="7" a="1"/>
  <c r="CN9" i="7" s="1"/>
  <c r="CN10" i="7"/>
  <c r="CN8" i="7"/>
  <c r="CO8" i="7" l="1"/>
  <c r="CP11" i="7"/>
  <c r="CO9" i="7" a="1"/>
  <c r="CO9" i="7" s="1"/>
  <c r="CO10" i="7"/>
  <c r="CP10" i="7" l="1"/>
  <c r="CP9" i="7" a="1"/>
  <c r="CP9" i="7" s="1"/>
  <c r="CP8" i="7"/>
  <c r="CQ11" i="7"/>
  <c r="CQ10" i="7" l="1"/>
  <c r="CQ9" i="7" a="1"/>
  <c r="CQ9" i="7" s="1"/>
  <c r="CR11" i="7"/>
  <c r="CQ8" i="7"/>
  <c r="CS11" i="7" l="1"/>
  <c r="CR8" i="7"/>
  <c r="CR9" i="7" a="1"/>
  <c r="CR9" i="7" s="1"/>
  <c r="CR10" i="7"/>
  <c r="CS8" i="7" l="1"/>
  <c r="CS9" i="7" a="1"/>
  <c r="CS9" i="7" s="1"/>
  <c r="CS10" i="7"/>
  <c r="CT11" i="7"/>
  <c r="CT10" i="7" l="1"/>
  <c r="CT9" i="7" a="1"/>
  <c r="CT9" i="7" s="1"/>
  <c r="CT8" i="7"/>
  <c r="CU11" i="7"/>
  <c r="CU10" i="7" l="1"/>
  <c r="CU9" i="7" a="1"/>
  <c r="CU9" i="7" s="1"/>
  <c r="CV11" i="7"/>
  <c r="CU8" i="7"/>
  <c r="CW11" i="7" l="1"/>
  <c r="CV8" i="7"/>
  <c r="CV9" i="7" a="1"/>
  <c r="CV9" i="7" s="1"/>
  <c r="CV10" i="7"/>
  <c r="CX11" i="7" l="1"/>
  <c r="CW8" i="7"/>
  <c r="CW10" i="7"/>
  <c r="CW9" i="7" a="1"/>
  <c r="CW9" i="7" s="1"/>
  <c r="CY11" i="7" l="1"/>
  <c r="CZ11" i="7" s="1"/>
  <c r="CX10" i="7"/>
  <c r="CX9" i="7" a="1"/>
  <c r="CX9" i="7" s="1"/>
  <c r="CX8" i="7"/>
  <c r="DA11" i="7" l="1"/>
  <c r="CZ10" i="7"/>
  <c r="CZ9" i="7" a="1"/>
  <c r="CZ9" i="7" s="1"/>
  <c r="CZ8" i="7"/>
  <c r="CY9" i="7" a="1"/>
  <c r="CY9" i="7" s="1"/>
  <c r="CY8" i="7"/>
  <c r="CY10" i="7"/>
  <c r="DA8" i="7" l="1"/>
  <c r="DA9" i="7" a="1"/>
  <c r="DA9" i="7" s="1"/>
  <c r="DA10" i="7"/>
  <c r="DB11" i="7"/>
  <c r="DB9" i="7" l="1" a="1"/>
  <c r="DB9" i="7" s="1"/>
  <c r="DB10" i="7"/>
  <c r="DB8" i="7"/>
  <c r="DC11" i="7"/>
  <c r="DC10" i="7" l="1"/>
  <c r="DD11" i="7"/>
  <c r="DC9" i="7" a="1"/>
  <c r="DC9" i="7" s="1"/>
  <c r="DC8" i="7"/>
  <c r="DE11" i="7" l="1"/>
  <c r="DD9" i="7" a="1"/>
  <c r="DD9" i="7" s="1"/>
  <c r="DD8" i="7"/>
  <c r="DD10" i="7"/>
  <c r="DF11" i="7" l="1"/>
  <c r="DE8" i="7"/>
  <c r="DE9" i="7" a="1"/>
  <c r="DE9" i="7" s="1"/>
  <c r="DE10" i="7"/>
  <c r="DG11" i="7" l="1"/>
  <c r="DF9" i="7" a="1"/>
  <c r="DF9" i="7" s="1"/>
  <c r="DF10" i="7"/>
  <c r="DF8" i="7"/>
  <c r="DH11" i="7" l="1"/>
  <c r="DG8" i="7"/>
  <c r="DG9" i="7" a="1"/>
  <c r="DG9" i="7" s="1"/>
  <c r="DG10" i="7"/>
  <c r="DH8" i="7" l="1"/>
  <c r="DH10" i="7"/>
  <c r="DH9" i="7" a="1"/>
  <c r="DH9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RAKOTOMAVO</author>
  </authors>
  <commentList>
    <comment ref="D12" authorId="0" shapeId="0" xr:uid="{B7D079DB-F3BF-4205-A2EF-94A5250B12ED}">
      <text>
        <r>
          <rPr>
            <b/>
            <sz val="8"/>
            <color indexed="81"/>
            <rFont val="Arial"/>
            <family val="2"/>
          </rPr>
          <t>Ne doit pas être une date de Weekend ou jour férié si cellule B9 = "Non"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<sst xmlns="http://schemas.openxmlformats.org/spreadsheetml/2006/main" count="229" uniqueCount="130">
  <si>
    <t>Scope of Work</t>
  </si>
  <si>
    <t>Informations</t>
  </si>
  <si>
    <t>Client</t>
  </si>
  <si>
    <t>Auteur / Contact</t>
  </si>
  <si>
    <t>Site(s) du client</t>
  </si>
  <si>
    <t>Description du projet</t>
  </si>
  <si>
    <t>Note importante</t>
  </si>
  <si>
    <t>Les tâches non mentionnées dans le tableau ci-dessous peuvent impacter la durée d’exécution du projet et seront considérées comme une nouvelle demande (et sujet à une nouvelle facturation).</t>
  </si>
  <si>
    <t>Répartion des tâches</t>
  </si>
  <si>
    <t>Phase</t>
  </si>
  <si>
    <t>Type</t>
  </si>
  <si>
    <t>Tâche</t>
  </si>
  <si>
    <t>Description</t>
  </si>
  <si>
    <t>Site(s) concerné(s)</t>
  </si>
  <si>
    <t>Difficulté</t>
  </si>
  <si>
    <t>Nb 
intervenants</t>
  </si>
  <si>
    <t>Durée</t>
  </si>
  <si>
    <t>Phase 1</t>
  </si>
  <si>
    <t>Préparation</t>
  </si>
  <si>
    <t>Gestion de projet</t>
  </si>
  <si>
    <t>Antananarivo</t>
  </si>
  <si>
    <t>Ing-1</t>
  </si>
  <si>
    <t>Livraision des equipements</t>
  </si>
  <si>
    <t>Ing-2</t>
  </si>
  <si>
    <t>Phase 2</t>
  </si>
  <si>
    <t>Implémentation</t>
  </si>
  <si>
    <t>Desinstallation</t>
  </si>
  <si>
    <t>Installation physique</t>
  </si>
  <si>
    <t>Configuration</t>
  </si>
  <si>
    <t>Test(s) de validation</t>
  </si>
  <si>
    <t>Post_Implémentation</t>
  </si>
  <si>
    <t>Transfert de compétence</t>
  </si>
  <si>
    <t>Rédaction livrable(s)</t>
  </si>
  <si>
    <t>Récapitulatif</t>
  </si>
  <si>
    <t>Durée totale</t>
  </si>
  <si>
    <t>Total général</t>
  </si>
  <si>
    <t>Planning Théorique</t>
  </si>
  <si>
    <t>1ère semaine affichée</t>
  </si>
  <si>
    <t>Début projet</t>
  </si>
  <si>
    <t>Service pdt WE &amp; Jours féries</t>
  </si>
  <si>
    <t>Non</t>
  </si>
  <si>
    <t>Type Affichage</t>
  </si>
  <si>
    <t>Jour</t>
  </si>
  <si>
    <t>Affichage mois calendaire</t>
  </si>
  <si>
    <t>Oui</t>
  </si>
  <si>
    <t>Catégorie</t>
  </si>
  <si>
    <t>Début</t>
  </si>
  <si>
    <t>Fin</t>
  </si>
  <si>
    <t>Jour férié</t>
  </si>
  <si>
    <t>Préparation / Conception</t>
  </si>
  <si>
    <t>Audit</t>
  </si>
  <si>
    <t>Jour de l'an</t>
  </si>
  <si>
    <t>Maintenance / Assistance</t>
  </si>
  <si>
    <t>Collecte d'information</t>
  </si>
  <si>
    <t>Journée Internationale de la femme</t>
  </si>
  <si>
    <t>Mise en place outil d'analyse</t>
  </si>
  <si>
    <t>Test</t>
  </si>
  <si>
    <t>Jour des Martyrs (insurrection de 1947)</t>
  </si>
  <si>
    <t>Analyse</t>
  </si>
  <si>
    <t>Aïd el-Fitr (Musulmans)</t>
  </si>
  <si>
    <t>Audit / Analyse</t>
  </si>
  <si>
    <t>Pâques</t>
  </si>
  <si>
    <t>Lab / Simulation</t>
  </si>
  <si>
    <t>Lundi de Pâques</t>
  </si>
  <si>
    <t>Formation</t>
  </si>
  <si>
    <t>Fête du travail</t>
  </si>
  <si>
    <t>Rédaction Livrable(s)</t>
  </si>
  <si>
    <t>Ascension</t>
  </si>
  <si>
    <t>Pentecôte</t>
  </si>
  <si>
    <t>Lundi de Pentecôte</t>
  </si>
  <si>
    <t>Fête de l'Independance</t>
  </si>
  <si>
    <t>Type de phase</t>
  </si>
  <si>
    <t>Assomption</t>
  </si>
  <si>
    <t>Toussaint</t>
  </si>
  <si>
    <t>Noël</t>
  </si>
  <si>
    <t>Solondrainy Aurélien ANTSARILALA | IT Engineer | aurelien@nexthope.net | +261 32 55 129 06</t>
  </si>
  <si>
    <t>Cab</t>
  </si>
  <si>
    <t>Orange Madagascar (LPSA)</t>
  </si>
  <si>
    <t>Phase 1 : Préparation Siege</t>
  </si>
  <si>
    <t>Phase 2 : Implémentation Siege</t>
  </si>
  <si>
    <t>Phase 2 : Implémentation Soanerana</t>
  </si>
  <si>
    <t>Phase 2 : Implémentation Antsirabe</t>
  </si>
  <si>
    <t>Phase 2 : Implémentation Fianarantsoa</t>
  </si>
  <si>
    <t>Phase 2 : Implémentation Manakara</t>
  </si>
  <si>
    <t>Refonte de l’Infrastructure d’Interconnexion Multi-sites de LPSA</t>
  </si>
  <si>
    <t>Refonte complète de l’interconnexion des sites de LPSA, via l’installation de routeurs LTE/5G, l’établissement de VPN sécurisés et la mise en place d’un système de supervision centralisé, pour assurer une connectivité fiable et un pilotage à distance efficace.</t>
  </si>
  <si>
    <t>- Test de connectivité WAN/LAN.
- Test de montée du tunnel VPN.
- Vérification de la supervision.</t>
  </si>
  <si>
    <t>Phase 2 : Implémentation Ehoala</t>
  </si>
  <si>
    <t>Phase 2 : Implémentation Toliara</t>
  </si>
  <si>
    <t>Phase 2 : Implémentation Morondava</t>
  </si>
  <si>
    <t>Phase 2 : Implémentation Maintirano</t>
  </si>
  <si>
    <t>Phase 2 : Implémentation Mahajanga</t>
  </si>
  <si>
    <t>Phase 2 : Implémentation Antsohihy</t>
  </si>
  <si>
    <t>Phase 2 : Implémentation Antsapano</t>
  </si>
  <si>
    <t>Phase 2 : Implémentation Nosy be</t>
  </si>
  <si>
    <t>Phase 2 : Implémentation Diego</t>
  </si>
  <si>
    <t>Phase 2 : Implémentation Vohemar</t>
  </si>
  <si>
    <t>Phase 2 : Implémentation Antalaha</t>
  </si>
  <si>
    <t>Phase 2 : Implémentation Moramanga</t>
  </si>
  <si>
    <t>Phase 2 : Implémentation Morarano</t>
  </si>
  <si>
    <t>Phase 2 : Implémentation Toamasina</t>
  </si>
  <si>
    <t>Phase 2 : Implémentation Maroantsetra</t>
  </si>
  <si>
    <t>Phase 2 : Implémentation Sainte Marie</t>
  </si>
  <si>
    <t>- Désinstallation de l’ancien routeur.
- Installation du nouveau routeur (Cisco C1121X ou BR1 Pro).
- Montage d’antennes LTE externes.
- Connexion des interfaces WAN  et LAN.</t>
  </si>
  <si>
    <t>Phase 3</t>
  </si>
  <si>
    <t>Phase 3 : Post implemantation Siege</t>
  </si>
  <si>
    <t>Post-Implémentation</t>
  </si>
  <si>
    <t>Phase 3 : Post implemantation Soanerana</t>
  </si>
  <si>
    <t>Phase 3 : Post implemantation Antsirabe</t>
  </si>
  <si>
    <t>Phase 3 : Post implemantation Fianrantsoa</t>
  </si>
  <si>
    <t>Phase 3 : Post implemantation Manakara</t>
  </si>
  <si>
    <t>Phase 3 : Post implemantation Ehoala</t>
  </si>
  <si>
    <t>Phase 3 : Post implemantation Toliara</t>
  </si>
  <si>
    <t>Phase 3 : Post implemantation Morondava</t>
  </si>
  <si>
    <t>Phase 3 : Post implemantation Maintirano</t>
  </si>
  <si>
    <t>Phase 3 : Post implemantation Mahajanga</t>
  </si>
  <si>
    <t>Phase 3 : Post implemantation Antsohihy</t>
  </si>
  <si>
    <t>Phase 3 : Post implemantation Antsapano</t>
  </si>
  <si>
    <t>Phase 3 : Post implemantation Nosy be</t>
  </si>
  <si>
    <t>Phase 3 : Post implemantation Diego</t>
  </si>
  <si>
    <t>Phase 3 : Post implemantation Vohemar</t>
  </si>
  <si>
    <t>Phase 3 : Post implemantation Antalaha</t>
  </si>
  <si>
    <t>Phase 3 : Post implemantation Moramanga</t>
  </si>
  <si>
    <t>Phase 3 : Post implemantation Morarano</t>
  </si>
  <si>
    <t>Phase 3 : Post implemantation Toamasina</t>
  </si>
  <si>
    <t>Phase 3 : Post implemantation Maroantsetra</t>
  </si>
  <si>
    <t>Phase 3 : Post implemantation Sainte Marie</t>
  </si>
  <si>
    <t>- Configuration du modem LTE comme lien WAN principal.
- Configuration de l’interface LAN pour la distribution locale.
- Établissement d’un tunnel VPN sécurisé vers le siège.
- Mise en place du routage dynamique pour l’échange de routes via le tunnel VPN.
- Configuration SNMP pour supervision distante.</t>
  </si>
  <si>
    <t>- Analyse et collecte de la configuration existante.</t>
  </si>
  <si>
    <t>UNIMA Mahajamba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</si>
</sst>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General\ &quot; Jr(s)&quot;"/>
    <numFmt numFmtId="165" formatCode="0.0&quot; Jr(s)&quot;"/>
    <numFmt numFmtId="166" formatCode="d"/>
    <numFmt numFmtId="167" formatCode="[$-F800]dddd\,\ mmmm\ dd\,\ yyyy"/>
    <numFmt numFmtId="168" formatCode="0&quot; Jr(s)&quot;"/>
    <numFmt numFmtId="169" formatCode="General\ &quot;pers&quot;\."/>
  </numFmts>
  <fonts count="27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20"/>
      <color rgb="FFA41D66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u/>
      <sz val="10"/>
      <color rgb="FFA41D66"/>
      <name val="Arial"/>
      <family val="2"/>
    </font>
    <font>
      <b/>
      <sz val="8"/>
      <color theme="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8"/>
      <color rgb="FF444444"/>
      <name val="Arial"/>
      <family val="2"/>
    </font>
    <font>
      <b/>
      <sz val="8"/>
      <color rgb="FF444444"/>
      <name val="Arial"/>
      <family val="2"/>
    </font>
    <font>
      <b/>
      <sz val="10"/>
      <color theme="0"/>
      <name val="Arial"/>
      <family val="2"/>
    </font>
    <font>
      <b/>
      <sz val="8"/>
      <color indexed="81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8"/>
      <color rgb="FFA41D66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43288"/>
        <bgColor indexed="64"/>
      </patternFill>
    </fill>
    <fill>
      <patternFill patternType="solid">
        <fgColor rgb="FFA41D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rgb="FF643288"/>
      </left>
      <right/>
      <top/>
      <bottom/>
      <diagonal/>
    </border>
    <border>
      <left/>
      <right style="thin">
        <color rgb="FF643288"/>
      </right>
      <top/>
      <bottom/>
      <diagonal/>
    </border>
    <border>
      <left style="thin">
        <color rgb="FF643288"/>
      </left>
      <right/>
      <top/>
      <bottom style="thin">
        <color rgb="FF643288"/>
      </bottom>
      <diagonal/>
    </border>
    <border>
      <left/>
      <right/>
      <top/>
      <bottom style="thin">
        <color rgb="FF643288"/>
      </bottom>
      <diagonal/>
    </border>
    <border>
      <left/>
      <right style="thin">
        <color rgb="FF643288"/>
      </right>
      <top/>
      <bottom style="thin">
        <color rgb="FF643288"/>
      </bottom>
      <diagonal/>
    </border>
    <border>
      <left style="thin">
        <color rgb="FF643288"/>
      </left>
      <right style="thin">
        <color rgb="FF643288"/>
      </right>
      <top style="thin">
        <color rgb="FF643288"/>
      </top>
      <bottom style="thin">
        <color rgb="FF643288"/>
      </bottom>
      <diagonal/>
    </border>
    <border>
      <left style="thin">
        <color rgb="FF643288"/>
      </left>
      <right/>
      <top style="thin">
        <color rgb="FF643288"/>
      </top>
      <bottom style="thin">
        <color theme="0"/>
      </bottom>
      <diagonal/>
    </border>
    <border>
      <left/>
      <right/>
      <top style="thin">
        <color rgb="FF643288"/>
      </top>
      <bottom style="thin">
        <color theme="0"/>
      </bottom>
      <diagonal/>
    </border>
    <border>
      <left/>
      <right style="thin">
        <color rgb="FF643288"/>
      </right>
      <top style="thin">
        <color rgb="FF643288"/>
      </top>
      <bottom style="thin">
        <color theme="0"/>
      </bottom>
      <diagonal/>
    </border>
    <border>
      <left style="thin">
        <color rgb="FF643288"/>
      </left>
      <right/>
      <top style="thin">
        <color rgb="FF643288"/>
      </top>
      <bottom/>
      <diagonal/>
    </border>
    <border>
      <left/>
      <right/>
      <top style="thin">
        <color rgb="FF643288"/>
      </top>
      <bottom/>
      <diagonal/>
    </border>
    <border>
      <left/>
      <right style="thin">
        <color rgb="FF643288"/>
      </right>
      <top style="thin">
        <color rgb="FF643288"/>
      </top>
      <bottom/>
      <diagonal/>
    </border>
    <border>
      <left style="thin">
        <color rgb="FF643288"/>
      </left>
      <right style="thin">
        <color rgb="FF643288"/>
      </right>
      <top/>
      <bottom style="thin">
        <color rgb="FF643288"/>
      </bottom>
      <diagonal/>
    </border>
    <border>
      <left style="thin">
        <color rgb="FF643288"/>
      </left>
      <right style="thin">
        <color rgb="FF643288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643288"/>
      </left>
      <right/>
      <top/>
      <bottom style="thin">
        <color theme="0"/>
      </bottom>
      <diagonal/>
    </border>
    <border>
      <left/>
      <right style="thin">
        <color rgb="FF643288"/>
      </right>
      <top style="thin">
        <color rgb="FF643288"/>
      </top>
      <bottom style="thin">
        <color rgb="FF643288"/>
      </bottom>
      <diagonal/>
    </border>
    <border>
      <left style="thin">
        <color rgb="FF643288"/>
      </left>
      <right/>
      <top style="thin">
        <color rgb="FF643288"/>
      </top>
      <bottom style="thin">
        <color rgb="FF643288"/>
      </bottom>
      <diagonal/>
    </border>
    <border>
      <left/>
      <right/>
      <top style="thin">
        <color rgb="FF643288"/>
      </top>
      <bottom style="thin">
        <color rgb="FF643288"/>
      </bottom>
      <diagonal/>
    </border>
    <border>
      <left/>
      <right/>
      <top style="thin">
        <color indexed="64"/>
      </top>
      <bottom/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3743705557422"/>
      </top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3743705557422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/>
      <top/>
      <bottom style="hair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3" fillId="0" borderId="0" applyNumberFormat="0" applyFill="0" applyBorder="0" applyAlignment="0" applyProtection="0"/>
    <xf numFmtId="0" fontId="14" fillId="0" borderId="0"/>
    <xf numFmtId="14" fontId="12" fillId="0" borderId="0" applyFont="0" applyFill="0" applyBorder="0">
      <alignment horizontal="center" vertical="center"/>
    </xf>
  </cellStyleXfs>
  <cellXfs count="108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indent="2"/>
    </xf>
    <xf numFmtId="167" fontId="16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" fillId="2" borderId="16" xfId="0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1" fillId="2" borderId="16" xfId="0" applyFont="1" applyFill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166" fontId="1" fillId="4" borderId="25" xfId="0" applyNumberFormat="1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19" fillId="0" borderId="0" xfId="1" applyFont="1" applyFill="1" applyAlignment="1">
      <alignment horizontal="left" vertical="center" wrapText="1"/>
    </xf>
    <xf numFmtId="0" fontId="19" fillId="0" borderId="0" xfId="1" applyFont="1" applyFill="1" applyAlignment="1">
      <alignment vertical="center" wrapText="1"/>
    </xf>
    <xf numFmtId="14" fontId="9" fillId="0" borderId="0" xfId="0" applyNumberFormat="1" applyFont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2" fillId="6" borderId="27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69" fontId="9" fillId="0" borderId="0" xfId="0" applyNumberFormat="1" applyFont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0" fontId="1" fillId="0" borderId="0" xfId="0" quotePrefix="1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7" fillId="2" borderId="11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0" xfId="0" quotePrefix="1" applyFont="1" applyAlignment="1">
      <alignment vertical="center" wrapText="1"/>
    </xf>
    <xf numFmtId="0" fontId="1" fillId="0" borderId="29" xfId="0" applyFont="1" applyBorder="1" applyAlignment="1">
      <alignment horizontal="center" vertical="center"/>
    </xf>
    <xf numFmtId="165" fontId="9" fillId="0" borderId="30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32" xfId="0" quotePrefix="1" applyFont="1" applyBorder="1" applyAlignment="1">
      <alignment vertical="center" wrapText="1"/>
    </xf>
    <xf numFmtId="0" fontId="9" fillId="0" borderId="32" xfId="0" applyFont="1" applyBorder="1" applyAlignment="1">
      <alignment horizontal="center" vertical="center"/>
    </xf>
    <xf numFmtId="169" fontId="9" fillId="0" borderId="32" xfId="0" applyNumberFormat="1" applyFont="1" applyBorder="1" applyAlignment="1">
      <alignment horizontal="center" vertical="center"/>
    </xf>
    <xf numFmtId="165" fontId="22" fillId="0" borderId="0" xfId="0" applyNumberFormat="1" applyFont="1" applyAlignment="1">
      <alignment horizontal="center" vertical="center"/>
    </xf>
    <xf numFmtId="0" fontId="25" fillId="3" borderId="2" xfId="0" applyFont="1" applyFill="1" applyBorder="1" applyAlignment="1">
      <alignment vertical="center"/>
    </xf>
    <xf numFmtId="0" fontId="25" fillId="3" borderId="3" xfId="0" applyFont="1" applyFill="1" applyBorder="1" applyAlignment="1">
      <alignment horizontal="center" vertical="center" wrapText="1"/>
    </xf>
    <xf numFmtId="0" fontId="24" fillId="0" borderId="29" xfId="0" applyFont="1" applyBorder="1"/>
    <xf numFmtId="165" fontId="9" fillId="0" borderId="33" xfId="0" applyNumberFormat="1" applyFont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0" fontId="24" fillId="0" borderId="6" xfId="0" applyFont="1" applyBorder="1" applyAlignment="1">
      <alignment vertical="center"/>
    </xf>
    <xf numFmtId="165" fontId="24" fillId="0" borderId="14" xfId="0" applyNumberFormat="1" applyFont="1" applyBorder="1" applyAlignment="1">
      <alignment horizontal="center" vertical="center"/>
    </xf>
    <xf numFmtId="0" fontId="24" fillId="0" borderId="0" xfId="0" applyFont="1" applyAlignment="1">
      <alignment wrapText="1"/>
    </xf>
    <xf numFmtId="0" fontId="24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3" fillId="0" borderId="19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17" fillId="2" borderId="11" xfId="0" applyFont="1" applyFill="1" applyBorder="1" applyAlignment="1">
      <alignment horizontal="left" vertical="center"/>
    </xf>
    <xf numFmtId="0" fontId="17" fillId="2" borderId="12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2" fillId="0" borderId="20" xfId="0" applyFont="1" applyBorder="1" applyAlignment="1">
      <alignment horizontal="left" vertical="center"/>
    </xf>
    <xf numFmtId="0" fontId="22" fillId="0" borderId="21" xfId="0" applyFont="1" applyBorder="1" applyAlignment="1">
      <alignment horizontal="left" vertical="center"/>
    </xf>
    <xf numFmtId="0" fontId="22" fillId="0" borderId="19" xfId="0" applyFont="1" applyBorder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0" fontId="7" fillId="0" borderId="0" xfId="1" applyFont="1" applyFill="1" applyAlignment="1">
      <alignment horizontal="left" vertical="center" wrapText="1"/>
    </xf>
    <xf numFmtId="0" fontId="9" fillId="0" borderId="32" xfId="0" applyFont="1" applyBorder="1" applyAlignment="1">
      <alignment vertical="center" wrapText="1"/>
    </xf>
  </cellXfs>
  <cellStyles count="4">
    <cellStyle name="Date" xfId="3" xr:uid="{99FC90F6-B34B-4B27-ABC8-931A12FCDA02}"/>
    <cellStyle name="Normal" xfId="0" builtinId="0"/>
    <cellStyle name="Titre" xfId="1" builtinId="15"/>
    <cellStyle name="zTexteMasqué" xfId="2" xr:uid="{A391804F-6F24-4580-8CF3-5213C6C1029F}"/>
  </cellStyles>
  <dxfs count="168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mediumGray">
          <fgColor theme="0" tint="-0.24994659260841701"/>
        </patternFill>
      </fill>
    </dxf>
    <dxf>
      <fill>
        <patternFill patternType="mediumGray">
          <fgColor rgb="FF7030A0"/>
        </patternFill>
      </fill>
    </dxf>
    <dxf>
      <fill>
        <patternFill>
          <bgColor theme="0" tint="-0.14996795556505021"/>
        </patternFill>
      </fill>
    </dxf>
    <dxf>
      <fill>
        <patternFill>
          <bgColor rgb="FFEADCF4"/>
        </patternFill>
      </fill>
    </dxf>
    <dxf>
      <border>
        <left style="thin">
          <color theme="0"/>
        </left>
        <vertical/>
        <horizontal/>
      </border>
    </dxf>
    <dxf>
      <fill>
        <patternFill patternType="solid">
          <bgColor theme="0" tint="-0.34998626667073579"/>
        </patternFill>
      </fill>
      <border>
        <left style="thin">
          <color theme="0"/>
        </left>
      </border>
    </dxf>
    <dxf>
      <border>
        <left style="thin">
          <color theme="0"/>
        </left>
        <vertical/>
        <horizontal/>
      </border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border>
        <left style="thin">
          <color theme="0" tint="-0.14996795556505021"/>
        </left>
        <vertical/>
        <horizontal/>
      </border>
    </dxf>
    <dxf>
      <border>
        <left style="thin">
          <color theme="0" tint="-0.14996795556505021"/>
        </left>
      </border>
    </dxf>
    <dxf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A41D66"/>
        </patternFill>
      </fill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44444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/>
      </font>
      <alignment horizontal="left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 val="0"/>
        <family val="2"/>
      </font>
      <fill>
        <patternFill patternType="none">
          <bgColor auto="1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0.0&quot; Jr(s)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5" formatCode="0.0&quot; Jr(s)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-1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&quot; Jr(s)&quot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9" formatCode="General\ &quot;pers&quot;\.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>
        <left style="thin">
          <color indexed="64"/>
        </left>
      </border>
    </dxf>
    <dxf>
      <border>
        <left/>
        <right/>
      </border>
    </dxf>
    <dxf>
      <alignment wrapText="1"/>
    </dxf>
    <dxf>
      <alignment vertic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5" formatCode="0.0&quot; Jr(s)&quot;"/>
    </dxf>
    <dxf>
      <alignment horizontal="center"/>
    </dxf>
    <dxf>
      <alignment wrapText="1"/>
    </dxf>
    <dxf>
      <font>
        <b/>
        <color theme="0"/>
      </font>
      <fill>
        <patternFill patternType="solid">
          <fgColor indexed="64"/>
          <bgColor rgb="FFA41D66"/>
        </patternFill>
      </fill>
      <alignment vertical="center"/>
    </dxf>
    <dxf>
      <font>
        <b/>
      </font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right style="thin">
          <color rgb="FF643288"/>
        </right>
      </border>
    </dxf>
    <dxf>
      <border>
        <right style="thin">
          <color rgb="FF643288"/>
        </right>
      </border>
    </dxf>
    <dxf>
      <font>
        <color theme="0"/>
      </font>
      <fill>
        <patternFill patternType="solid">
          <fgColor indexed="64"/>
          <bgColor rgb="FFA41D66"/>
        </patternFill>
      </fill>
      <alignment vertical="center"/>
    </dxf>
    <dxf>
      <border>
        <bottom style="thin">
          <color theme="0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left style="thin">
          <color rgb="FF643288"/>
        </left>
        <right style="thin">
          <color rgb="FF643288"/>
        </right>
        <bottom style="thin">
          <color rgb="FF643288"/>
        </bottom>
      </border>
    </dxf>
    <dxf>
      <border>
        <vertical style="thin">
          <color theme="0"/>
        </vertical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ill>
        <patternFill patternType="solid">
          <bgColor rgb="FFA41D66"/>
        </patternFill>
      </fill>
    </dxf>
    <dxf>
      <fill>
        <patternFill patternType="solid">
          <bgColor rgb="FFA41D66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  <dxf>
      <border>
        <top/>
        <bottom/>
      </border>
    </dxf>
    <dxf>
      <fill>
        <patternFill>
          <bgColor theme="0" tint="-4.9989318521683403E-2"/>
        </patternFill>
      </fill>
      <border>
        <top/>
        <bottom/>
      </border>
    </dxf>
    <dxf>
      <border>
        <top/>
      </border>
    </dxf>
    <dxf>
      <font>
        <b/>
        <i val="0"/>
        <color theme="0"/>
      </font>
      <fill>
        <patternFill>
          <fgColor auto="1"/>
          <bgColor rgb="FFA41D66"/>
        </patternFill>
      </fill>
      <border>
        <left/>
        <right/>
        <top style="thin">
          <color theme="0"/>
        </top>
        <bottom/>
        <vertical/>
        <horizontal/>
      </border>
    </dxf>
    <dxf>
      <border>
        <top style="thin">
          <color theme="0"/>
        </top>
        <bottom style="thin">
          <color theme="0"/>
        </bottom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ListeDesTâches" pivot="0" count="9" xr9:uid="{1E032137-4FE3-4315-BD4D-B482D2F0822F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secondRowStripe" dxfId="161"/>
      <tableStyleElement type="firstColumnStripe" dxfId="160"/>
      <tableStyleElement type="secondColumnStripe" dxfId="159"/>
    </tableStyle>
    <tableStyle name="Style de tableau 1" pivot="0" count="5" xr9:uid="{00000000-0011-0000-FFFF-FFFF00000000}">
      <tableStyleElement type="wholeTable" dxfId="158"/>
      <tableStyleElement type="headerRow" dxfId="157"/>
      <tableStyleElement type="totalRow" dxfId="156"/>
      <tableStyleElement type="firstRowStripe" dxfId="155"/>
      <tableStyleElement type="secondRowStripe" dxfId="154"/>
    </tableStyle>
    <tableStyle name="TableStyleLight1 2" pivot="0" count="7" xr9:uid="{00000000-0011-0000-FFFF-FFFF01000000}">
      <tableStyleElement type="wholeTable" dxfId="153"/>
      <tableStyleElement type="headerRow" dxfId="152"/>
      <tableStyleElement type="totalRow" dxfId="151"/>
      <tableStyleElement type="firstColumn" dxfId="150"/>
      <tableStyleElement type="lastColumn" dxfId="149"/>
      <tableStyleElement type="firstRowStripe" dxfId="148"/>
      <tableStyleElement type="firstColumnStripe" dxfId="147"/>
    </tableStyle>
  </tableStyles>
  <colors>
    <mruColors>
      <color rgb="FFF5F5F5"/>
      <color rgb="FFF2F2F2"/>
      <color rgb="FFDCC5ED"/>
      <color rgb="FFE6E6E6"/>
      <color rgb="FFF0F0F0"/>
      <color rgb="FFECDFF5"/>
      <color rgb="FFEADCF4"/>
      <color rgb="FFECECEC"/>
      <color rgb="FF7030A0"/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Scroll" dx="31" fmlaLink="$C$7" horiz="1" max="46" page="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156306</xdr:colOff>
      <xdr:row>0</xdr:row>
      <xdr:rowOff>103898</xdr:rowOff>
    </xdr:from>
    <xdr:to>
      <xdr:col>2</xdr:col>
      <xdr:colOff>628650</xdr:colOff>
      <xdr:row>5</xdr:row>
      <xdr:rowOff>44450</xdr:rowOff>
    </xdr:to>
    <xdr:pic>
      <xdr:nvPicPr>
        <xdr:cNvPr id="2" name="Image 1" descr="NextHope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406" y="103898"/>
          <a:ext cx="1456594" cy="5755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65837</xdr:rowOff>
        </xdr:from>
        <xdr:to>
          <xdr:col>37</xdr:col>
          <xdr:colOff>219456</xdr:colOff>
          <xdr:row>5</xdr:row>
          <xdr:rowOff>212141</xdr:rowOff>
        </xdr:to>
        <xdr:sp macro="" textlink="">
          <xdr:nvSpPr>
            <xdr:cNvPr id="5163" name="Scroll Bar 43" hidden="1">
              <a:extLst>
                <a:ext uri="{63B3BB69-23CF-44E3-9099-C40C66FF867C}">
                  <a14:compatExt spid="_x0000_s5163"/>
                </a:ext>
                <a:ext uri="{FF2B5EF4-FFF2-40B4-BE49-F238E27FC236}">
                  <a16:creationId xmlns:a16="http://schemas.microsoft.com/office/drawing/2014/main" id="{00000000-0008-0000-0100-00002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4527</xdr:colOff>
      <xdr:row>12</xdr:row>
      <xdr:rowOff>146303</xdr:rowOff>
    </xdr:from>
    <xdr:to>
      <xdr:col>8</xdr:col>
      <xdr:colOff>4528</xdr:colOff>
      <xdr:row>13</xdr:row>
      <xdr:rowOff>190194</xdr:rowOff>
    </xdr:to>
    <xdr:sp macro="" textlink="">
      <xdr:nvSpPr>
        <xdr:cNvPr id="2" name="Triangle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rot="10800000">
          <a:off x="7309277" y="1989037"/>
          <a:ext cx="247324" cy="190195"/>
        </a:xfrm>
        <a:prstGeom prst="rtTriangle">
          <a:avLst/>
        </a:prstGeom>
        <a:solidFill>
          <a:schemeClr val="bg1"/>
        </a:solidFill>
        <a:ln w="63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7.503837615739" createdVersion="7" refreshedVersion="8" minRefreshableVersion="3" recordCount="86" xr:uid="{324B5C22-48F7-40A7-90D0-669A8B1DD383}">
  <cacheSource type="worksheet">
    <worksheetSource name="Tableau3"/>
  </cacheSource>
  <cacheFields count="8">
    <cacheField name="Phase" numFmtId="0">
      <sharedItems containsBlank="1" count="9">
        <s v="Phase 1"/>
        <s v="Phase 2"/>
        <s v="Phase 3"/>
        <m/>
        <s v="Préparation" u="1"/>
        <s v="Implémentation" u="1"/>
        <s v="Post_Implémentation" u="1"/>
        <s v="Post-Implémentation" u="1"/>
        <s v="Post-Implémnetation" u="1"/>
      </sharedItems>
    </cacheField>
    <cacheField name="Type" numFmtId="0">
      <sharedItems containsBlank="1" count="5">
        <s v="Préparation"/>
        <s v="Implémentation"/>
        <s v="Post_Implémentation"/>
        <m/>
        <s v="Audit" u="1"/>
      </sharedItems>
    </cacheField>
    <cacheField name="Tâche" numFmtId="0">
      <sharedItems containsBlank="1" count="15">
        <s v="Gestion de projet"/>
        <s v="Audit / Analyse"/>
        <s v="Lab / Simulation"/>
        <s v="Installation physique"/>
        <s v="Configuration"/>
        <s v="Test(s) de validation"/>
        <m/>
        <s v="Collecte d'information" u="1"/>
        <s v="Rédaction livrable(s)" u="1"/>
        <s v="Transfert de compétence" u="1"/>
        <s v="Livraision des equipements" u="1"/>
        <s v="Desinstallation" u="1"/>
        <s v="Préparation" u="1"/>
        <s v="Analyse" u="1"/>
        <s v="Test" u="1"/>
      </sharedItems>
    </cacheField>
    <cacheField name="Description" numFmtId="0">
      <sharedItems containsBlank="1" longText="1"/>
    </cacheField>
    <cacheField name="Site(s) concerné(s)" numFmtId="0">
      <sharedItems containsBlank="1"/>
    </cacheField>
    <cacheField name="Difficulté" numFmtId="0">
      <sharedItems containsBlank="1"/>
    </cacheField>
    <cacheField name="Nb _x000a_intervenants" numFmtId="169">
      <sharedItems containsString="0" containsBlank="1" containsNumber="1" containsInteger="1" minValue="1" maxValue="2"/>
    </cacheField>
    <cacheField name="Durée" numFmtId="165">
      <sharedItems containsString="0" containsBlank="1" containsNumber="1" minValue="0.5" maxValue="2"/>
    </cacheField>
  </cacheFields>
  <extLst>
    <ext xmlns:x14="http://schemas.microsoft.com/office/spreadsheetml/2009/9/main" uri="{725AE2AE-9491-48be-B2B4-4EB974FC3084}">
      <x14:pivotCacheDefinition pivotCacheId="21355783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x v="0"/>
    <x v="0"/>
    <x v="0"/>
    <s v="- Réunion de cadrage avec le client_x000a_- Collecte des données techniques et topologiques du site"/>
    <s v="Ankorondrano - Tana"/>
    <s v="Ing-1"/>
    <n v="1"/>
    <n v="0.5"/>
  </r>
  <r>
    <x v="0"/>
    <x v="0"/>
    <x v="1"/>
    <s v="Élaboration d’un design global de l’architecture réseau"/>
    <s v="Ankorondrano - Tana"/>
    <s v="Ing-2"/>
    <n v="1"/>
    <n v="1"/>
  </r>
  <r>
    <x v="0"/>
    <x v="0"/>
    <x v="2"/>
    <s v="Simulation de l’ensemble du réseau "/>
    <s v="Ankorondrano - Tana"/>
    <s v="Ing-2"/>
    <n v="1"/>
    <n v="2"/>
  </r>
  <r>
    <x v="1"/>
    <x v="1"/>
    <x v="3"/>
    <s v="- Dinstallation de l'ancien routeur au siège _x000a_- Installation du nouveau routeur Installation du nouveau routeur_x000a_- Interconnecter tous les equipementss necessaire "/>
    <s v="Ankorondrano - Tana"/>
    <s v="Cab"/>
    <n v="2"/>
    <n v="1"/>
  </r>
  <r>
    <x v="1"/>
    <x v="1"/>
    <x v="4"/>
    <s v="- Configuration de la connectivité Internet_x000a_- Mise en place de tunnels VPN vers chaque site distant_x000a_- Gestion centralisée avec InControl2 (si on choisi peplink)"/>
    <s v="Ankorondrano - Tana"/>
    <s v="Ing-3"/>
    <n v="1"/>
    <n v="2"/>
  </r>
  <r>
    <x v="2"/>
    <x v="2"/>
    <x v="5"/>
    <s v="Tests de disponibilité, de débit, de redondance et de sécurité"/>
    <s v="Ankorondrano - Tana"/>
    <s v="Ing-2"/>
    <n v="1"/>
    <n v="0.5"/>
  </r>
  <r>
    <x v="3"/>
    <x v="3"/>
    <x v="6"/>
    <m/>
    <m/>
    <m/>
    <m/>
    <m/>
  </r>
  <r>
    <x v="1"/>
    <x v="1"/>
    <x v="3"/>
    <s v="- Désinstallation de l’ancien routeur._x000a_- Installation du nouveau routeur (Cisco C1121X ou BR1 Pro)._x000a_- Montage d’antennes LTE externes._x000a_- Connexion des interfaces WAN  et LAN."/>
    <s v="Soanerana - Tana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Soanerana - Tana"/>
    <s v="Ing-2"/>
    <n v="1"/>
    <n v="1"/>
  </r>
  <r>
    <x v="2"/>
    <x v="2"/>
    <x v="5"/>
    <s v="- Test de connectivité WAN/LAN._x000a_- Test de montée du tunnel VPN._x000a_- Vérification de la supervision."/>
    <s v="Soanerana - Tana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Antsirabe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Antsirabe"/>
    <s v="Ing-2"/>
    <n v="1"/>
    <n v="1"/>
  </r>
  <r>
    <x v="2"/>
    <x v="2"/>
    <x v="5"/>
    <s v="- Test de connectivité WAN/LAN._x000a_- Test de montée du tunnel VPN._x000a_- Vérification de la supervision."/>
    <s v="Antsirabe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Fianarantsoa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Fianarantsoa"/>
    <s v="Ing-2"/>
    <n v="1"/>
    <n v="1"/>
  </r>
  <r>
    <x v="2"/>
    <x v="2"/>
    <x v="5"/>
    <s v="- Test de connectivité WAN/LAN._x000a_- Test de montée du tunnel VPN._x000a_- Vérification de la supervision."/>
    <s v="Fianarantsoa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Manakara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Manakara"/>
    <s v="Ing-2"/>
    <n v="1"/>
    <n v="1"/>
  </r>
  <r>
    <x v="2"/>
    <x v="2"/>
    <x v="5"/>
    <s v="- Test de connectivité WAN/LAN._x000a_- Test de montée du tunnel VPN._x000a_- Vérification de la supervision."/>
    <s v="Manakara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Ehoala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Ehoala"/>
    <s v="Ing-2"/>
    <n v="1"/>
    <n v="1"/>
  </r>
  <r>
    <x v="2"/>
    <x v="2"/>
    <x v="5"/>
    <s v="- Test de connectivité WAN/LAN._x000a_- Test de montée du tunnel VPN._x000a_- Vérification de la supervision."/>
    <s v="Ehoala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Toliara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Toliara"/>
    <s v="Ing-2"/>
    <n v="1"/>
    <n v="1"/>
  </r>
  <r>
    <x v="2"/>
    <x v="2"/>
    <x v="5"/>
    <s v="- Test de connectivité WAN/LAN._x000a_- Test de montée du tunnel VPN._x000a_- Vérification de la supervision."/>
    <s v="Toliara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Morondava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Morondava"/>
    <s v="Ing-2"/>
    <n v="1"/>
    <n v="1"/>
  </r>
  <r>
    <x v="2"/>
    <x v="2"/>
    <x v="5"/>
    <s v="- Test de connectivité WAN/LAN._x000a_- Test de montée du tunnel VPN._x000a_- Vérification de la supervision."/>
    <s v="Morondava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Maintirano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Maintirano"/>
    <s v="Ing-2"/>
    <n v="1"/>
    <n v="1"/>
  </r>
  <r>
    <x v="2"/>
    <x v="2"/>
    <x v="5"/>
    <s v="- Test de connectivité WAN/LAN._x000a_- Test de montée du tunnel VPN._x000a_- Vérification de la supervision."/>
    <s v="Maintirano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Mahajanga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Mahajanga"/>
    <s v="Ing-2"/>
    <n v="1"/>
    <n v="1"/>
  </r>
  <r>
    <x v="2"/>
    <x v="2"/>
    <x v="5"/>
    <s v="- Test de connectivité WAN/LAN._x000a_- Test de montée du tunnel VPN._x000a_- Vérification de la supervision."/>
    <s v="Mahajanga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Antsohihy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Antsohihy"/>
    <s v="Ing-2"/>
    <n v="1"/>
    <n v="1"/>
  </r>
  <r>
    <x v="2"/>
    <x v="2"/>
    <x v="5"/>
    <s v="- Test de connectivité WAN/LAN._x000a_- Test de montée du tunnel VPN._x000a_- Vérification de la supervision."/>
    <s v="Antsohihy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Antsapano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Antsapano"/>
    <s v="Ing-2"/>
    <n v="1"/>
    <n v="1"/>
  </r>
  <r>
    <x v="2"/>
    <x v="2"/>
    <x v="5"/>
    <s v="- Test de connectivité WAN/LAN._x000a_- Test de montée du tunnel VPN._x000a_- Vérification de la supervision."/>
    <s v="Antsapano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Nosy be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Nosy be"/>
    <s v="Ing-2"/>
    <n v="1"/>
    <n v="1"/>
  </r>
  <r>
    <x v="2"/>
    <x v="2"/>
    <x v="5"/>
    <s v="- Test de connectivité WAN/LAN._x000a_- Test de montée du tunnel VPN._x000a_- Vérification de la supervision."/>
    <s v="Nosy be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Diego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Diego"/>
    <s v="Ing-2"/>
    <n v="1"/>
    <n v="1"/>
  </r>
  <r>
    <x v="2"/>
    <x v="2"/>
    <x v="5"/>
    <s v="- Test de connectivité WAN/LAN._x000a_- Test de montée du tunnel VPN._x000a_- Vérification de la supervision."/>
    <s v="Diego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Vohemar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Vohemar"/>
    <s v="Ing-2"/>
    <n v="1"/>
    <n v="1"/>
  </r>
  <r>
    <x v="2"/>
    <x v="2"/>
    <x v="5"/>
    <s v="- Test de connectivité WAN/LAN._x000a_- Test de montée du tunnel VPN._x000a_- Vérification de la supervision."/>
    <s v="Vohemar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Antalaha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Antalaha"/>
    <s v="Ing-2"/>
    <n v="1"/>
    <n v="1"/>
  </r>
  <r>
    <x v="2"/>
    <x v="2"/>
    <x v="5"/>
    <s v="- Test de connectivité WAN/LAN._x000a_- Test de montée du tunnel VPN._x000a_- Vérification de la supervision."/>
    <s v="Antalaha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Moramanga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Moramanga"/>
    <s v="Ing-2"/>
    <n v="1"/>
    <n v="1"/>
  </r>
  <r>
    <x v="2"/>
    <x v="2"/>
    <x v="5"/>
    <s v="- Test de connectivité WAN/LAN._x000a_- Test de montée du tunnel VPN._x000a_- Vérification de la supervision."/>
    <s v="Moramanga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Morarano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Morarano"/>
    <s v="Ing-2"/>
    <n v="1"/>
    <n v="1"/>
  </r>
  <r>
    <x v="2"/>
    <x v="2"/>
    <x v="5"/>
    <s v="- Test de connectivité WAN/LAN._x000a_- Test de montée du tunnel VPN._x000a_- Vérification de la supervision."/>
    <s v="Morarano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Toamasina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Toamasina"/>
    <s v="Ing-2"/>
    <n v="1"/>
    <n v="1"/>
  </r>
  <r>
    <x v="2"/>
    <x v="2"/>
    <x v="5"/>
    <s v="- Test de connectivité WAN/LAN._x000a_- Test de montée du tunnel VPN._x000a_- Vérification de la supervision."/>
    <s v="Toamasina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Maroantsetra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Maroantsetra"/>
    <s v="Ing-2"/>
    <n v="1"/>
    <n v="1"/>
  </r>
  <r>
    <x v="2"/>
    <x v="2"/>
    <x v="5"/>
    <s v="- Test de connectivité WAN/LAN._x000a_- Test de montée du tunnel VPN._x000a_- Vérification de la supervision."/>
    <s v="Maroantsetra"/>
    <s v="Ing-1"/>
    <n v="1"/>
    <n v="0.5"/>
  </r>
  <r>
    <x v="3"/>
    <x v="3"/>
    <x v="6"/>
    <m/>
    <m/>
    <m/>
    <m/>
    <m/>
  </r>
  <r>
    <x v="1"/>
    <x v="1"/>
    <x v="3"/>
    <s v="- Dépose de l’ancien routeur._x000a_- Installation du nouveau routeur (Cisco C1121X ou BR1 Pro)._x000a_- Montage d’antennes LTE externes._x000a_- Connexion des interfaces WAN  et LAN."/>
    <s v="Sainte Marie"/>
    <s v="Cab"/>
    <n v="2"/>
    <n v="1"/>
  </r>
  <r>
    <x v="1"/>
    <x v="1"/>
    <x v="4"/>
    <s v="- Configuration du modem LTE comme lien WAN principal._x000a_- Configuration de l’interface LAN pour la distribution locale._x000a_- Établissement d’un tunnel VPN sécurisé vers le siège._x000a_- Mise en place du routage dynamique pour l’échange de routes via le tunnel VPN._x000a_- Configuration SNMP pour supervision distante._x000a_- Intégration du routeur à la plateforme de gestion centralisée : InControl2 (pour Peplink)"/>
    <s v="Sainte Marie"/>
    <s v="Ing-2"/>
    <n v="1"/>
    <n v="1"/>
  </r>
  <r>
    <x v="2"/>
    <x v="2"/>
    <x v="5"/>
    <s v="- Test de connectivité WAN/LAN._x000a_- Test de montée du tunnel VPN._x000a_- Vérification de la supervision."/>
    <s v="Sainte Marie"/>
    <s v="Ing-1"/>
    <n v="1"/>
    <n v="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30E3A9-3C5A-446F-BEF9-7358CE5F94EE}" name="Tableau croisé dynamique1" cacheId="0" applyNumberFormats="0" applyBorderFormats="0" applyFontFormats="0" applyPatternFormats="0" applyAlignmentFormats="0" applyWidthHeightFormats="1" dataCaption="Valeurs" updatedVersion="8" minRefreshableVersion="3" showDrill="0" useAutoFormatting="1" itemPrintTitles="1" createdVersion="7" indent="0" compact="0" compactData="0" multipleFieldFilters="0" chartFormat="1">
  <location ref="B27:D34" firstHeaderRow="1" firstDataRow="1" firstDataCol="2"/>
  <pivotFields count="8">
    <pivotField axis="axisRow" compact="0" outline="0" showAll="0" sortType="ascending" defaultSubtotal="0">
      <items count="9">
        <item m="1" x="5"/>
        <item x="0"/>
        <item x="1"/>
        <item x="2"/>
        <item m="1" x="6"/>
        <item m="1" x="7"/>
        <item m="1" x="8"/>
        <item m="1" x="4"/>
        <item h="1" x="3"/>
      </items>
    </pivotField>
    <pivotField compact="0" outline="0" subtotalTop="0" showAll="0" sortType="descending" defaultSubtotal="0">
      <items count="5">
        <item x="3"/>
        <item x="0"/>
        <item x="2"/>
        <item x="1"/>
        <item m="1" x="4"/>
      </items>
    </pivotField>
    <pivotField axis="axisRow" compact="0" outline="0" showAll="0" defaultSubtotal="0">
      <items count="15">
        <item m="1" x="7"/>
        <item x="4"/>
        <item x="3"/>
        <item x="2"/>
        <item m="1" x="8"/>
        <item x="5"/>
        <item m="1" x="9"/>
        <item x="6"/>
        <item m="1" x="12"/>
        <item m="1" x="13"/>
        <item m="1" x="14"/>
        <item x="0"/>
        <item m="1" x="10"/>
        <item m="1" x="11"/>
        <item x="1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compact="0" numFmtId="169" outline="0" subtotalTop="0" showAll="0" defaultSubtotal="0"/>
    <pivotField dataField="1" compact="0" numFmtId="164" outline="0" showAll="0" defaultSubtotal="0"/>
  </pivotFields>
  <rowFields count="2">
    <field x="0"/>
    <field x="2"/>
  </rowFields>
  <rowItems count="7">
    <i>
      <x v="1"/>
      <x v="3"/>
    </i>
    <i r="1">
      <x v="11"/>
    </i>
    <i r="1">
      <x v="14"/>
    </i>
    <i>
      <x v="2"/>
      <x v="1"/>
    </i>
    <i r="1">
      <x v="2"/>
    </i>
    <i>
      <x v="3"/>
      <x v="5"/>
    </i>
    <i t="grand">
      <x/>
    </i>
  </rowItems>
  <colItems count="1">
    <i/>
  </colItems>
  <dataFields count="1">
    <dataField name="Durée totale" fld="7" baseField="0" baseItem="0"/>
  </dataFields>
  <formats count="61"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0" type="button" dataOnly="0" labelOnly="1" outline="0" axis="axisRow" fieldPosition="0"/>
    </format>
    <format dxfId="143">
      <pivotArea dataOnly="0" labelOnly="1" grandRow="1" outline="0" fieldPosition="0"/>
    </format>
    <format dxfId="1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0" type="button" dataOnly="0" labelOnly="1" outline="0" axis="axisRow" fieldPosition="0"/>
    </format>
    <format dxfId="138">
      <pivotArea dataOnly="0" labelOnly="1" grandRow="1" outline="0" fieldPosition="0"/>
    </format>
    <format dxfId="1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6">
      <pivotArea outline="0" collapsedLevelsAreSubtotals="1" fieldPosition="0"/>
    </format>
    <format dxfId="1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4">
      <pivotArea outline="0" collapsedLevelsAreSubtotals="1" fieldPosition="0"/>
    </format>
    <format dxfId="1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2">
      <pivotArea field="0" type="button" dataOnly="0" labelOnly="1" outline="0" axis="axisRow" fieldPosition="0"/>
    </format>
    <format dxfId="13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0">
      <pivotArea field="0" type="button" dataOnly="0" labelOnly="1" outline="0" axis="axisRow" fieldPosition="0"/>
    </format>
    <format dxfId="1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8">
      <pivotArea field="0" type="button" dataOnly="0" labelOnly="1" outline="0" axis="axisRow" fieldPosition="0"/>
    </format>
    <format dxfId="1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6">
      <pivotArea grandRow="1" outline="0" collapsedLevelsAreSubtotals="1" fieldPosition="0"/>
    </format>
    <format dxfId="125">
      <pivotArea dataOnly="0" labelOnly="1" grandRow="1" outline="0" fieldPosition="0"/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0" type="button" dataOnly="0" labelOnly="1" outline="0" axis="axisRow" fieldPosition="0"/>
    </format>
    <format dxfId="121">
      <pivotArea dataOnly="0" labelOnly="1" grandRow="1" outline="0" fieldPosition="0"/>
    </format>
    <format dxfId="1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9">
      <pivotArea grandRow="1" outline="0" collapsedLevelsAreSubtotals="1" fieldPosition="0"/>
    </format>
    <format dxfId="118">
      <pivotArea dataOnly="0" labelOnly="1" grandRow="1" outline="0" fieldPosition="0"/>
    </format>
    <format dxfId="117">
      <pivotArea dataOnly="0" labelOnly="1" grandRow="1" outline="0" offset="IV256" fieldPosition="0"/>
    </format>
    <format dxfId="116">
      <pivotArea field="0" type="button" dataOnly="0" labelOnly="1" outline="0" axis="axisRow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dataOnly="0" labelOnly="1" grandRow="1" outline="0" fieldPosition="0"/>
    </format>
    <format dxfId="1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0">
      <pivotArea dataOnly="0" labelOnly="1" outline="0" axis="axisValues" fieldPosition="0"/>
    </format>
    <format dxfId="109">
      <pivotArea outline="0" collapsedLevelsAreSubtotals="1" fieldPosition="0"/>
    </format>
    <format dxfId="108">
      <pivotArea dataOnly="0" labelOnly="1" outline="0" axis="axisValues" fieldPosition="0"/>
    </format>
    <format dxfId="107">
      <pivotArea field="2" type="button" dataOnly="0" labelOnly="1" outline="0" axis="axisRow" fieldPosition="1"/>
    </format>
    <format dxfId="106">
      <pivotArea field="2" type="button" dataOnly="0" labelOnly="1" outline="0" axis="axisRow" fieldPosition="1"/>
    </format>
    <format dxfId="105">
      <pivotArea field="1" type="button" dataOnly="0" labelOnly="1" outline="0"/>
    </format>
    <format dxfId="104">
      <pivotArea dataOnly="0" labelOnly="1" outline="0" axis="axisValues" fieldPosition="0"/>
    </format>
    <format dxfId="103">
      <pivotArea dataOnly="0" labelOnly="1" outline="0" axis="axisValues" fieldPosition="0"/>
    </format>
    <format dxfId="102">
      <pivotArea grandRow="1" outline="0" collapsedLevelsAreSubtotals="1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0" type="button" dataOnly="0" labelOnly="1" outline="0" axis="axisRow" fieldPosition="0"/>
    </format>
    <format dxfId="98">
      <pivotArea field="2" type="button" dataOnly="0" labelOnly="1" outline="0" axis="axisRow" fieldPosition="1"/>
    </format>
    <format dxfId="97">
      <pivotArea dataOnly="0" labelOnly="1" outline="0" fieldPosition="0">
        <references count="1">
          <reference field="0" count="0"/>
        </references>
      </pivotArea>
    </format>
    <format dxfId="96">
      <pivotArea dataOnly="0" labelOnly="1" grandRow="1" outline="0" fieldPosition="0"/>
    </format>
    <format dxfId="95">
      <pivotArea dataOnly="0" labelOnly="1" outline="0" fieldPosition="0">
        <references count="2">
          <reference field="0" count="1" selected="0">
            <x v="1"/>
          </reference>
          <reference field="2" count="3">
            <x v="0"/>
            <x v="4"/>
            <x v="11"/>
          </reference>
        </references>
      </pivotArea>
    </format>
    <format dxfId="94">
      <pivotArea dataOnly="0" labelOnly="1" outline="0" fieldPosition="0">
        <references count="2">
          <reference field="0" count="1" selected="0">
            <x v="2"/>
          </reference>
          <reference field="2" count="2">
            <x v="1"/>
            <x v="2"/>
          </reference>
        </references>
      </pivotArea>
    </format>
    <format dxfId="93">
      <pivotArea dataOnly="0" labelOnly="1" outline="0" fieldPosition="0">
        <references count="2">
          <reference field="0" count="1" selected="0">
            <x v="3"/>
          </reference>
          <reference field="2" count="2">
            <x v="4"/>
            <x v="6"/>
          </reference>
        </references>
      </pivotArea>
    </format>
    <format dxfId="92">
      <pivotArea dataOnly="0" labelOnly="1" outline="0" axis="axisValues" fieldPosition="0"/>
    </format>
    <format dxfId="91">
      <pivotArea dataOnly="0" labelOnly="1" outline="0" fieldPosition="0">
        <references count="2">
          <reference field="0" count="1" selected="0">
            <x v="1"/>
          </reference>
          <reference field="2" count="3">
            <x v="0"/>
            <x v="4"/>
            <x v="11"/>
          </reference>
        </references>
      </pivotArea>
    </format>
    <format dxfId="90">
      <pivotArea dataOnly="0" labelOnly="1" outline="0" fieldPosition="0">
        <references count="2">
          <reference field="0" count="1" selected="0">
            <x v="2"/>
          </reference>
          <reference field="2" count="2">
            <x v="1"/>
            <x v="2"/>
          </reference>
        </references>
      </pivotArea>
    </format>
    <format dxfId="89">
      <pivotArea dataOnly="0" labelOnly="1" outline="0" fieldPosition="0">
        <references count="2">
          <reference field="0" count="1" selected="0">
            <x v="3"/>
          </reference>
          <reference field="2" count="2">
            <x v="4"/>
            <x v="6"/>
          </reference>
        </references>
      </pivotArea>
    </format>
    <format dxfId="88">
      <pivotArea dataOnly="0" labelOnly="1" outline="0" fieldPosition="0">
        <references count="1">
          <reference field="2" count="0"/>
        </references>
      </pivotArea>
    </format>
    <format dxfId="87">
      <pivotArea dataOnly="0" labelOnly="1" outline="0" fieldPosition="0">
        <references count="1">
          <reference field="0" count="0"/>
        </references>
      </pivotArea>
    </format>
    <format dxfId="86">
      <pivotArea dataOnly="0" labelOnly="1" outline="0" fieldPosition="0">
        <references count="1">
          <reference field="0" count="0"/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31EE19-AA5A-47A5-9DF3-85876091A1E1}" name="Tableau3" displayName="Tableau3" ref="B19:I23" headerRowDxfId="85" tableBorderDxfId="84">
  <sortState xmlns:xlrd2="http://schemas.microsoft.com/office/spreadsheetml/2017/richdata2" ref="B20:I22">
    <sortCondition ref="C19:C22"/>
  </sortState>
  <tableColumns count="8">
    <tableColumn id="1" xr3:uid="{BE3C1353-38BF-4190-8211-D33B4025F734}" name="Phase" dataDxfId="83" totalsRowDxfId="82"/>
    <tableColumn id="2" xr3:uid="{FF28E6AF-CA8A-4C63-A3CE-5FCC29D1A092}" name="Type" dataDxfId="81" totalsRowDxfId="80"/>
    <tableColumn id="3" xr3:uid="{6552B395-AABA-4478-85C9-A35D5BF4BB54}" name="Tâche" dataDxfId="79" totalsRowDxfId="78"/>
    <tableColumn id="4" xr3:uid="{FA41F85F-1FFC-4E9B-A6F9-EF24A4D96B10}" name="Description" dataDxfId="77" totalsRowDxfId="76"/>
    <tableColumn id="5" xr3:uid="{E7B23680-F155-496C-9995-D4E004D2463C}" name="Site(s) concerné(s)" dataDxfId="75" totalsRowDxfId="74"/>
    <tableColumn id="6" xr3:uid="{63B9A686-0AFF-4144-994D-A579C2643CEA}" name="Difficulté" dataDxfId="73" totalsRowDxfId="72"/>
    <tableColumn id="7" xr3:uid="{6CC43F70-33D9-46B5-A803-A6294ECE9930}" name="Nb _x000a_intervenants" dataDxfId="71" totalsRowDxfId="70"/>
    <tableColumn id="8" xr3:uid="{46548F77-22BB-4F87-B939-D0AF5326C13D}" name="Durée" totalsRowFunction="sum" dataDxfId="69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6A15F5-3C0D-4C3E-BB0F-44B10FBBC243}" name="Tableau2" displayName="Tableau2" ref="B12:F122" totalsRowCount="1" headerRowDxfId="68" dataDxfId="66" headerRowBorderDxfId="67">
  <tableColumns count="5">
    <tableColumn id="1" xr3:uid="{98885E21-9D4A-4DEF-924E-FA1E5F588D51}" name="Tâche" dataDxfId="65" totalsRowDxfId="64">
      <calculatedColumnFormula>SoW!D19</calculatedColumnFormula>
    </tableColumn>
    <tableColumn id="4" xr3:uid="{985EB58E-CECE-472F-9798-916DFB153E6C}" name="Catégorie" dataDxfId="63" totalsRowDxfId="62"/>
    <tableColumn id="2" xr3:uid="{ABAE4723-E02E-441F-BE34-010D34237E9A}" name="Début" dataDxfId="61" totalsRowDxfId="60"/>
    <tableColumn id="3" xr3:uid="{D8FDB337-80FE-4173-A03E-123A3E5A1EEC}" name="Durée" totalsRowFunction="sum" dataDxfId="59" totalsRowDxfId="58"/>
    <tableColumn id="6" xr3:uid="{F532E47C-5BE0-46CA-88A0-826942630E6B}" name="Fin" dataDxfId="57" totalsRowDxfId="56">
      <calculatedColumnFormula>IF(Tableau2[[#This Row],[Durée]]="",0,IF($C$9="Oui",Tableau2[[#This Row],[Début]]+Tableau2[[#This Row],[Durée]]-1,WORKDAY(Tableau2[[#This Row],[Début]],Tableau2[[#This Row],[Durée]]-1,Tableau4[Jour férié])))</calculatedColumnFormula>
    </tableColumn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E1B7C79-A0A9-44BA-8873-3C8DD64C212B}" name="Tableau8" displayName="Tableau8" ref="B3:B11" totalsRowShown="0" headerRowDxfId="55" dataDxfId="54" tableBorderDxfId="53">
  <tableColumns count="1">
    <tableColumn id="1" xr3:uid="{7F5BF202-6645-4DA8-8189-6E0A59558255}" name="Préparation / Conception" dataDxfId="52"/>
  </tableColumns>
  <tableStyleInfo name="ListeDesTâche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D2151EF-57C1-44A5-8FD2-A2D982CD17B7}" name="Tableau10" displayName="Tableau10" ref="D3:D7" totalsRowShown="0" headerRowDxfId="51" dataDxfId="50" tableBorderDxfId="49">
  <tableColumns count="1">
    <tableColumn id="1" xr3:uid="{698252F5-BC05-470B-BCFF-66493FBE5E70}" name="Implémentation" dataDxfId="48"/>
  </tableColumns>
  <tableStyleInfo name="ListeDesTâche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36A07B7-0E65-4919-918A-901A8F7FD4FF}" name="Tableau11" displayName="Tableau11" ref="F3:F7" totalsRowShown="0" headerRowDxfId="47" dataDxfId="46" tableBorderDxfId="45">
  <tableColumns count="1">
    <tableColumn id="1" xr3:uid="{4A06A5B9-A5F8-4823-BAD8-9E1A3B582C1C}" name="Post_Implémentation" dataDxfId="44"/>
  </tableColumns>
  <tableStyleInfo name="ListeDesTâche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DB664F-C7D7-40D5-B0ED-17D7B0DEE607}" name="Tableau4" displayName="Tableau4" ref="J3:K17" totalsRowShown="0" headerRowDxfId="43" dataDxfId="42">
  <tableColumns count="2">
    <tableColumn id="1" xr3:uid="{F4B70E9D-EDA4-4F38-9BCE-C00317694C45}" name="Jour férié" dataDxfId="41"/>
    <tableColumn id="2" xr3:uid="{9F7841F5-C2FE-48C9-87C3-8CBD723ED64E}" name="Description" dataDxfId="40"/>
  </tableColumns>
  <tableStyleInfo name="ListeDesTâche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3CA062-BEB5-4879-AC3F-02D34E9CFB95}" name="Tableau5" displayName="Tableau5" ref="B15:B19" totalsRowShown="0" headerRowDxfId="39" dataDxfId="38">
  <tableColumns count="1">
    <tableColumn id="1" xr3:uid="{C1B7AD2D-2D08-4C5D-95C5-2B63C668C63B}" name="Type de phase" dataDxfId="37"/>
  </tableColumns>
  <tableStyleInfo name="ListeDesTâches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E82DA7-ED3B-4AAC-9CE8-99CB51A0D07A}" name="Tableau117" displayName="Tableau117" ref="H3:H8" totalsRowShown="0" headerRowDxfId="36" dataDxfId="35" tableBorderDxfId="34">
  <tableColumns count="1">
    <tableColumn id="1" xr3:uid="{05DA9DF5-B9E1-4D77-8D9B-E01E767F4D8A}" name="Audit" dataDxfId="33"/>
  </tableColumns>
  <tableStyleInfo name="ListeDesTâches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F2E-1550-4659-899F-C0B1E2F3C2C7}">
  <sheetPr codeName="Feuil2">
    <pageSetUpPr fitToPage="1"/>
  </sheetPr>
  <dimension ref="B1:I86"/>
  <sheetViews>
    <sheetView showGridLines="0" tabSelected="1" topLeftCell="A16" zoomScaleNormal="100" zoomScaleSheetLayoutView="100" workbookViewId="0">
      <selection activeCell="G27" sqref="G27"/>
    </sheetView>
  </sheetViews>
  <sheetFormatPr baseColWidth="10" defaultColWidth="11.3984375" defaultRowHeight="10.4" x14ac:dyDescent="0.3"/>
  <cols>
    <col min="1" max="1" width="11.3984375" style="1"/>
    <col min="2" max="2" width="14.09765625" style="1" bestFit="1" customWidth="1"/>
    <col min="3" max="3" width="12.69921875" style="1" bestFit="1" customWidth="1"/>
    <col min="4" max="4" width="10.59765625" style="1" bestFit="1" customWidth="1"/>
    <col min="5" max="5" width="53.8984375" style="1" customWidth="1"/>
    <col min="6" max="6" width="18.796875" style="1" customWidth="1"/>
    <col min="7" max="7" width="6.8984375" style="5" bestFit="1" customWidth="1"/>
    <col min="8" max="8" width="12.09765625" style="5" customWidth="1"/>
    <col min="9" max="9" width="7.09765625" style="1" bestFit="1" customWidth="1"/>
    <col min="10" max="16384" width="11.3984375" style="1"/>
  </cols>
  <sheetData>
    <row r="1" spans="2:9" x14ac:dyDescent="0.3">
      <c r="B1" s="85"/>
      <c r="C1" s="85"/>
      <c r="D1" s="86" t="s">
        <v>0</v>
      </c>
      <c r="E1" s="86"/>
      <c r="F1" s="86"/>
      <c r="G1" s="86"/>
      <c r="H1" s="86"/>
      <c r="I1" s="86"/>
    </row>
    <row r="2" spans="2:9" x14ac:dyDescent="0.3">
      <c r="B2" s="85"/>
      <c r="C2" s="85"/>
      <c r="D2" s="86"/>
      <c r="E2" s="86"/>
      <c r="F2" s="86"/>
      <c r="G2" s="86"/>
      <c r="H2" s="86"/>
      <c r="I2" s="86"/>
    </row>
    <row r="3" spans="2:9" x14ac:dyDescent="0.3">
      <c r="B3" s="85"/>
      <c r="C3" s="85"/>
      <c r="D3" s="86"/>
      <c r="E3" s="86"/>
      <c r="F3" s="86"/>
      <c r="G3" s="86"/>
      <c r="H3" s="86"/>
      <c r="I3" s="86"/>
    </row>
    <row r="4" spans="2:9" x14ac:dyDescent="0.3">
      <c r="B4" s="85"/>
      <c r="C4" s="85"/>
      <c r="D4" s="87" t="s">
        <v>84</v>
      </c>
      <c r="E4" s="87"/>
      <c r="F4" s="87"/>
      <c r="G4" s="87"/>
      <c r="H4" s="87"/>
      <c r="I4" s="87"/>
    </row>
    <row r="5" spans="2:9" x14ac:dyDescent="0.3">
      <c r="B5" s="85"/>
      <c r="C5" s="85"/>
      <c r="D5" s="87"/>
      <c r="E5" s="87"/>
      <c r="F5" s="87"/>
      <c r="G5" s="87"/>
      <c r="H5" s="87"/>
      <c r="I5" s="87"/>
    </row>
    <row r="6" spans="2:9" x14ac:dyDescent="0.3">
      <c r="B6" s="85"/>
      <c r="C6" s="85"/>
      <c r="D6" s="87"/>
      <c r="E6" s="87"/>
      <c r="F6" s="87"/>
      <c r="G6" s="87"/>
      <c r="H6" s="87"/>
      <c r="I6" s="87"/>
    </row>
    <row r="7" spans="2:9" ht="15" customHeight="1" x14ac:dyDescent="0.25">
      <c r="B7" s="8"/>
      <c r="C7" s="8"/>
      <c r="D7" s="9"/>
      <c r="E7" s="9"/>
      <c r="F7" s="9"/>
      <c r="G7" s="9"/>
      <c r="H7" s="9"/>
      <c r="I7" s="9"/>
    </row>
    <row r="8" spans="2:9" ht="15" customHeight="1" x14ac:dyDescent="0.3">
      <c r="B8" s="100"/>
      <c r="C8" s="100"/>
      <c r="D8" s="100"/>
      <c r="E8" s="100"/>
      <c r="F8" s="100"/>
      <c r="G8" s="100"/>
      <c r="H8" s="100"/>
      <c r="I8" s="100"/>
    </row>
    <row r="9" spans="2:9" ht="20.3" customHeight="1" x14ac:dyDescent="0.3">
      <c r="B9" s="60" t="s">
        <v>1</v>
      </c>
      <c r="C9" s="61"/>
      <c r="D9" s="61"/>
      <c r="E9" s="61"/>
      <c r="F9" s="61"/>
      <c r="G9" s="61"/>
      <c r="H9" s="61"/>
      <c r="I9" s="62"/>
    </row>
    <row r="10" spans="2:9" s="24" customFormat="1" ht="15.55" customHeight="1" x14ac:dyDescent="0.3">
      <c r="B10" s="92" t="s">
        <v>2</v>
      </c>
      <c r="C10" s="93"/>
      <c r="D10" s="102" t="s">
        <v>77</v>
      </c>
      <c r="E10" s="103"/>
      <c r="F10" s="103"/>
      <c r="G10" s="103"/>
      <c r="H10" s="103"/>
      <c r="I10" s="104"/>
    </row>
    <row r="11" spans="2:9" s="24" customFormat="1" ht="15.55" customHeight="1" x14ac:dyDescent="0.3">
      <c r="B11" s="92" t="s">
        <v>3</v>
      </c>
      <c r="C11" s="93"/>
      <c r="D11" s="94" t="s">
        <v>75</v>
      </c>
      <c r="E11" s="95"/>
      <c r="F11" s="95"/>
      <c r="G11" s="95"/>
      <c r="H11" s="95"/>
      <c r="I11" s="96"/>
    </row>
    <row r="12" spans="2:9" s="24" customFormat="1" ht="15.55" customHeight="1" x14ac:dyDescent="0.3">
      <c r="B12" s="92" t="s">
        <v>4</v>
      </c>
      <c r="C12" s="93"/>
      <c r="D12" s="88" t="s">
        <v>20</v>
      </c>
      <c r="E12" s="89"/>
      <c r="F12" s="89"/>
      <c r="G12" s="89"/>
      <c r="H12" s="89"/>
      <c r="I12" s="90"/>
    </row>
    <row r="13" spans="2:9" ht="31.55" customHeight="1" x14ac:dyDescent="0.3">
      <c r="B13" s="92" t="s">
        <v>5</v>
      </c>
      <c r="C13" s="93"/>
      <c r="D13" s="94" t="s">
        <v>85</v>
      </c>
      <c r="E13" s="95"/>
      <c r="F13" s="95"/>
      <c r="G13" s="95"/>
      <c r="H13" s="95"/>
      <c r="I13" s="96"/>
    </row>
    <row r="14" spans="2:9" ht="13.85" x14ac:dyDescent="0.25">
      <c r="B14" s="2"/>
      <c r="C14" s="2"/>
      <c r="D14" s="2"/>
      <c r="E14" s="2"/>
      <c r="F14" s="2"/>
      <c r="G14" s="2"/>
    </row>
    <row r="15" spans="2:9" ht="13.25" x14ac:dyDescent="0.3">
      <c r="B15" s="91" t="s">
        <v>6</v>
      </c>
      <c r="C15" s="91"/>
      <c r="D15" s="91"/>
      <c r="E15" s="91"/>
      <c r="F15" s="91"/>
      <c r="G15" s="91"/>
      <c r="H15" s="91"/>
      <c r="I15" s="91"/>
    </row>
    <row r="16" spans="2:9" ht="25.5" customHeight="1" x14ac:dyDescent="0.3">
      <c r="B16" s="101" t="s">
        <v>7</v>
      </c>
      <c r="C16" s="101"/>
      <c r="D16" s="101"/>
      <c r="E16" s="101"/>
      <c r="F16" s="101"/>
      <c r="G16" s="101"/>
      <c r="H16" s="101"/>
      <c r="I16" s="101"/>
    </row>
    <row r="17" spans="2:9" ht="14.15" customHeight="1" x14ac:dyDescent="0.3">
      <c r="B17" s="24"/>
      <c r="C17" s="24"/>
      <c r="D17" s="24"/>
      <c r="E17" s="24"/>
      <c r="F17" s="24"/>
      <c r="G17" s="25"/>
      <c r="H17" s="25"/>
      <c r="I17" s="24"/>
    </row>
    <row r="18" spans="2:9" ht="20.45" customHeight="1" x14ac:dyDescent="0.3">
      <c r="B18" s="97" t="s">
        <v>8</v>
      </c>
      <c r="C18" s="98"/>
      <c r="D18" s="98"/>
      <c r="E18" s="98"/>
      <c r="F18" s="98"/>
      <c r="G18" s="98"/>
      <c r="H18" s="98"/>
      <c r="I18" s="99"/>
    </row>
    <row r="19" spans="2:9" ht="24.05" customHeight="1" x14ac:dyDescent="0.3">
      <c r="B19" s="30" t="s">
        <v>9</v>
      </c>
      <c r="C19" s="49" t="s">
        <v>10</v>
      </c>
      <c r="D19" s="50" t="s">
        <v>11</v>
      </c>
      <c r="E19" s="51" t="s">
        <v>12</v>
      </c>
      <c r="F19" s="52" t="s">
        <v>13</v>
      </c>
      <c r="G19" s="50" t="s">
        <v>14</v>
      </c>
      <c r="H19" s="49" t="s">
        <v>15</v>
      </c>
      <c r="I19" s="27" t="s">
        <v>16</v>
      </c>
    </row>
    <row r="20" spans="2:9" ht="35.85" customHeight="1" x14ac:dyDescent="0.3">
      <c r="B20" s="29" t="s">
        <v>17</v>
      </c>
      <c r="C20" s="53" t="s">
        <v>18</v>
      </c>
      <c r="D20" s="54" t="s">
        <v>53</v>
      </c>
      <c r="E20" s="64" t="s">
        <v>128</v>
      </c>
      <c r="F20" s="55" t="s">
        <v>129</v>
      </c>
      <c r="G20" s="3" t="s">
        <v>21</v>
      </c>
      <c r="H20" s="56">
        <v>1</v>
      </c>
      <c r="I20" s="57">
        <v>0.5</v>
      </c>
    </row>
    <row r="21" spans="2:9" ht="47.95" customHeight="1" x14ac:dyDescent="0.3">
      <c r="B21" s="65" t="s">
        <v>24</v>
      </c>
      <c r="C21" s="53" t="s">
        <v>25</v>
      </c>
      <c r="D21" s="53" t="s">
        <v>27</v>
      </c>
      <c r="E21" s="58" t="s">
        <v>103</v>
      </c>
      <c r="F21" s="55" t="s">
        <v>129</v>
      </c>
      <c r="G21" s="3" t="s">
        <v>76</v>
      </c>
      <c r="H21" s="56">
        <v>2</v>
      </c>
      <c r="I21" s="66">
        <v>1</v>
      </c>
    </row>
    <row r="22" spans="2:9" ht="61.05" customHeight="1" x14ac:dyDescent="0.3">
      <c r="B22" s="29" t="s">
        <v>24</v>
      </c>
      <c r="C22" s="53" t="s">
        <v>25</v>
      </c>
      <c r="D22" s="53" t="s">
        <v>28</v>
      </c>
      <c r="E22" s="58" t="s">
        <v>127</v>
      </c>
      <c r="F22" s="55" t="s">
        <v>129</v>
      </c>
      <c r="G22" s="3" t="s">
        <v>23</v>
      </c>
      <c r="H22" s="56">
        <v>1</v>
      </c>
      <c r="I22" s="57">
        <v>1</v>
      </c>
    </row>
    <row r="23" spans="2:9" ht="35.299999999999997" customHeight="1" x14ac:dyDescent="0.3">
      <c r="B23" s="67" t="s">
        <v>104</v>
      </c>
      <c r="C23" s="68" t="s">
        <v>30</v>
      </c>
      <c r="D23" s="68" t="s">
        <v>29</v>
      </c>
      <c r="E23" s="69" t="s">
        <v>86</v>
      </c>
      <c r="F23" s="107" t="s">
        <v>129</v>
      </c>
      <c r="G23" s="70" t="s">
        <v>21</v>
      </c>
      <c r="H23" s="71">
        <v>1</v>
      </c>
      <c r="I23" s="76">
        <v>0.5</v>
      </c>
    </row>
    <row r="24" spans="2:9" ht="26.25" customHeight="1" x14ac:dyDescent="0.3">
      <c r="B24" s="5"/>
      <c r="C24" s="53"/>
      <c r="D24" s="53"/>
      <c r="E24" s="58"/>
      <c r="F24" s="58"/>
      <c r="G24" s="3"/>
      <c r="H24" s="56"/>
      <c r="I24" s="72"/>
    </row>
    <row r="25" spans="2:9" ht="27.1" customHeight="1" x14ac:dyDescent="0.3"/>
    <row r="26" spans="2:9" ht="17.3" customHeight="1" x14ac:dyDescent="0.3">
      <c r="B26" s="6" t="s">
        <v>33</v>
      </c>
      <c r="C26" s="7"/>
      <c r="D26" s="10"/>
      <c r="E26" s="46"/>
      <c r="F26" s="4"/>
      <c r="G26" s="4"/>
      <c r="H26" s="4"/>
      <c r="I26" s="4"/>
    </row>
    <row r="27" spans="2:9" ht="14.4" x14ac:dyDescent="0.3">
      <c r="B27" s="73" t="s">
        <v>9</v>
      </c>
      <c r="C27" s="78" t="s">
        <v>11</v>
      </c>
      <c r="D27" s="74" t="s">
        <v>34</v>
      </c>
      <c r="E27"/>
      <c r="F27"/>
      <c r="G27"/>
      <c r="H27"/>
      <c r="I27"/>
    </row>
    <row r="28" spans="2:9" ht="14.4" x14ac:dyDescent="0.3">
      <c r="B28" s="75" t="s">
        <v>17</v>
      </c>
      <c r="C28" s="83" t="s">
        <v>62</v>
      </c>
      <c r="D28" s="79">
        <v>2</v>
      </c>
      <c r="E28"/>
      <c r="F28"/>
      <c r="G28"/>
      <c r="H28"/>
      <c r="I28"/>
    </row>
    <row r="29" spans="2:9" ht="14.4" x14ac:dyDescent="0.3">
      <c r="B29" s="75"/>
      <c r="C29" s="84" t="s">
        <v>19</v>
      </c>
      <c r="D29" s="79">
        <v>0.5</v>
      </c>
      <c r="E29"/>
      <c r="F29"/>
      <c r="G29"/>
      <c r="H29"/>
      <c r="I29"/>
    </row>
    <row r="30" spans="2:9" ht="14.4" x14ac:dyDescent="0.3">
      <c r="B30" s="75"/>
      <c r="C30" s="83" t="s">
        <v>60</v>
      </c>
      <c r="D30" s="79">
        <v>1</v>
      </c>
      <c r="E30"/>
      <c r="F30"/>
      <c r="G30"/>
      <c r="H30"/>
      <c r="I30"/>
    </row>
    <row r="31" spans="2:9" ht="14.4" x14ac:dyDescent="0.3">
      <c r="B31" s="75" t="s">
        <v>24</v>
      </c>
      <c r="C31" s="84" t="s">
        <v>28</v>
      </c>
      <c r="D31" s="79">
        <v>22</v>
      </c>
      <c r="E31"/>
      <c r="F31"/>
      <c r="G31"/>
      <c r="H31"/>
      <c r="I31"/>
    </row>
    <row r="32" spans="2:9" ht="20.75" x14ac:dyDescent="0.3">
      <c r="B32" s="75"/>
      <c r="C32" s="84" t="s">
        <v>27</v>
      </c>
      <c r="D32" s="79">
        <v>21</v>
      </c>
      <c r="E32"/>
      <c r="F32"/>
      <c r="G32"/>
      <c r="H32"/>
      <c r="I32"/>
    </row>
    <row r="33" spans="2:9" ht="21.9" x14ac:dyDescent="0.3">
      <c r="B33" s="75" t="s">
        <v>104</v>
      </c>
      <c r="C33" s="83" t="s">
        <v>29</v>
      </c>
      <c r="D33" s="79">
        <v>10.5</v>
      </c>
      <c r="E33"/>
      <c r="F33"/>
      <c r="G33"/>
      <c r="H33"/>
      <c r="I33"/>
    </row>
    <row r="34" spans="2:9" ht="14.4" x14ac:dyDescent="0.3">
      <c r="B34" s="80" t="s">
        <v>35</v>
      </c>
      <c r="C34" s="81"/>
      <c r="D34" s="82">
        <v>57</v>
      </c>
      <c r="E34"/>
      <c r="F34"/>
      <c r="G34"/>
      <c r="H34"/>
      <c r="I34"/>
    </row>
    <row r="35" spans="2:9" ht="27.1" customHeight="1" x14ac:dyDescent="0.3">
      <c r="B35"/>
      <c r="C35"/>
      <c r="D35"/>
      <c r="E35"/>
      <c r="F35"/>
      <c r="G35"/>
      <c r="H35"/>
      <c r="I35"/>
    </row>
    <row r="36" spans="2:9" ht="47.25" customHeight="1" x14ac:dyDescent="0.3">
      <c r="B36"/>
      <c r="C36"/>
      <c r="D36"/>
      <c r="E36"/>
      <c r="F36"/>
      <c r="G36"/>
      <c r="H36"/>
      <c r="I36"/>
    </row>
    <row r="37" spans="2:9" ht="100.55" customHeight="1" x14ac:dyDescent="0.3">
      <c r="B37"/>
      <c r="C37"/>
      <c r="D37"/>
      <c r="E37"/>
      <c r="F37"/>
      <c r="G37"/>
      <c r="H37"/>
      <c r="I37"/>
    </row>
    <row r="38" spans="2:9" ht="35.299999999999997" customHeight="1" x14ac:dyDescent="0.3">
      <c r="B38"/>
      <c r="C38"/>
      <c r="D38"/>
      <c r="E38"/>
      <c r="F38"/>
      <c r="G38"/>
      <c r="H38"/>
      <c r="I38"/>
    </row>
    <row r="39" spans="2:9" ht="26.25" customHeight="1" x14ac:dyDescent="0.3">
      <c r="B39"/>
      <c r="C39"/>
      <c r="D39"/>
      <c r="E39"/>
      <c r="F39"/>
      <c r="G39"/>
      <c r="H39"/>
      <c r="I39"/>
    </row>
    <row r="40" spans="2:9" ht="27.1" customHeight="1" x14ac:dyDescent="0.3">
      <c r="B40"/>
      <c r="C40"/>
      <c r="D40"/>
      <c r="E40"/>
      <c r="F40"/>
      <c r="G40"/>
      <c r="H40"/>
      <c r="I40"/>
    </row>
    <row r="41" spans="2:9" ht="47.25" customHeight="1" x14ac:dyDescent="0.3">
      <c r="B41"/>
      <c r="C41"/>
      <c r="D41"/>
      <c r="E41"/>
      <c r="F41"/>
      <c r="G41"/>
      <c r="H41"/>
      <c r="I41"/>
    </row>
    <row r="42" spans="2:9" ht="100.55" customHeight="1" x14ac:dyDescent="0.3">
      <c r="B42"/>
      <c r="C42"/>
      <c r="D42"/>
      <c r="E42"/>
      <c r="F42"/>
      <c r="G42"/>
      <c r="H42"/>
      <c r="I42"/>
    </row>
    <row r="43" spans="2:9" ht="35.299999999999997" customHeight="1" x14ac:dyDescent="0.3">
      <c r="B43"/>
      <c r="C43"/>
      <c r="D43"/>
      <c r="E43"/>
      <c r="F43"/>
      <c r="G43"/>
      <c r="H43"/>
      <c r="I43"/>
    </row>
    <row r="44" spans="2:9" ht="32.85" customHeight="1" x14ac:dyDescent="0.3">
      <c r="B44"/>
      <c r="C44"/>
      <c r="D44"/>
      <c r="E44"/>
      <c r="F44"/>
      <c r="G44"/>
      <c r="H44"/>
      <c r="I44"/>
    </row>
    <row r="45" spans="2:9" ht="15.55" customHeight="1" x14ac:dyDescent="0.3">
      <c r="B45"/>
      <c r="C45"/>
      <c r="D45"/>
      <c r="E45"/>
      <c r="F45"/>
      <c r="G45"/>
      <c r="H45"/>
      <c r="I45"/>
    </row>
    <row r="46" spans="2:9" ht="14.4" x14ac:dyDescent="0.3">
      <c r="B46"/>
      <c r="C46"/>
      <c r="D46"/>
      <c r="E46"/>
      <c r="F46"/>
      <c r="G46"/>
      <c r="H46"/>
      <c r="I46"/>
    </row>
    <row r="47" spans="2:9" ht="14.4" x14ac:dyDescent="0.3">
      <c r="B47"/>
      <c r="C47"/>
      <c r="D47"/>
      <c r="E47"/>
      <c r="F47"/>
      <c r="G47"/>
      <c r="H47"/>
      <c r="I47"/>
    </row>
    <row r="48" spans="2:9" ht="14.4" x14ac:dyDescent="0.3">
      <c r="B48"/>
      <c r="C48"/>
      <c r="D48"/>
      <c r="E48"/>
      <c r="F48"/>
      <c r="G48"/>
      <c r="H48"/>
      <c r="I48"/>
    </row>
    <row r="49" spans="2:9" ht="14.4" x14ac:dyDescent="0.3">
      <c r="B49"/>
      <c r="C49"/>
      <c r="D49"/>
      <c r="E49"/>
      <c r="F49"/>
      <c r="G49"/>
      <c r="H49"/>
      <c r="I49"/>
    </row>
    <row r="50" spans="2:9" ht="14.4" x14ac:dyDescent="0.3">
      <c r="B50"/>
      <c r="C50"/>
      <c r="D50"/>
      <c r="E50"/>
      <c r="F50"/>
      <c r="G50"/>
      <c r="H50"/>
      <c r="I50"/>
    </row>
    <row r="51" spans="2:9" ht="14.4" x14ac:dyDescent="0.3">
      <c r="B51"/>
      <c r="C51"/>
      <c r="D51"/>
      <c r="E51"/>
      <c r="F51"/>
      <c r="G51"/>
      <c r="H51"/>
      <c r="I51"/>
    </row>
    <row r="52" spans="2:9" ht="14.4" x14ac:dyDescent="0.3">
      <c r="B52"/>
      <c r="C52"/>
      <c r="D52"/>
      <c r="E52"/>
      <c r="F52"/>
      <c r="G52"/>
      <c r="H52"/>
      <c r="I52"/>
    </row>
    <row r="53" spans="2:9" ht="14.4" x14ac:dyDescent="0.3">
      <c r="B53"/>
      <c r="C53"/>
      <c r="D53"/>
      <c r="E53"/>
      <c r="F53"/>
      <c r="G53"/>
      <c r="H53"/>
      <c r="I53"/>
    </row>
    <row r="54" spans="2:9" ht="14.4" x14ac:dyDescent="0.3">
      <c r="B54"/>
      <c r="C54"/>
      <c r="D54"/>
      <c r="E54"/>
      <c r="F54"/>
      <c r="G54"/>
      <c r="H54"/>
      <c r="I54"/>
    </row>
    <row r="55" spans="2:9" ht="14.4" x14ac:dyDescent="0.3">
      <c r="B55"/>
      <c r="C55"/>
      <c r="D55"/>
      <c r="E55"/>
      <c r="F55"/>
      <c r="G55"/>
      <c r="H55"/>
      <c r="I55"/>
    </row>
    <row r="56" spans="2:9" ht="14.4" x14ac:dyDescent="0.3">
      <c r="B56"/>
      <c r="C56"/>
      <c r="D56"/>
      <c r="E56"/>
      <c r="F56"/>
      <c r="G56"/>
      <c r="H56"/>
      <c r="I56"/>
    </row>
    <row r="57" spans="2:9" ht="14.4" x14ac:dyDescent="0.3">
      <c r="B57"/>
      <c r="C57"/>
      <c r="D57"/>
      <c r="E57"/>
      <c r="F57"/>
      <c r="G57"/>
      <c r="H57"/>
      <c r="I57"/>
    </row>
    <row r="58" spans="2:9" ht="14.4" x14ac:dyDescent="0.3">
      <c r="B58"/>
      <c r="C58"/>
      <c r="D58"/>
      <c r="E58"/>
      <c r="F58"/>
      <c r="G58"/>
      <c r="H58"/>
      <c r="I58"/>
    </row>
    <row r="59" spans="2:9" ht="14.4" x14ac:dyDescent="0.3">
      <c r="B59"/>
      <c r="C59"/>
      <c r="D59"/>
      <c r="E59"/>
      <c r="F59"/>
      <c r="G59"/>
      <c r="H59"/>
      <c r="I59"/>
    </row>
    <row r="60" spans="2:9" ht="14.4" x14ac:dyDescent="0.3">
      <c r="B60"/>
      <c r="C60"/>
      <c r="D60"/>
      <c r="E60"/>
      <c r="F60"/>
      <c r="G60"/>
      <c r="H60"/>
      <c r="I60"/>
    </row>
    <row r="61" spans="2:9" ht="14.4" x14ac:dyDescent="0.3">
      <c r="B61"/>
      <c r="C61"/>
      <c r="D61"/>
      <c r="E61"/>
      <c r="F61"/>
      <c r="G61"/>
      <c r="H61"/>
      <c r="I61"/>
    </row>
    <row r="62" spans="2:9" ht="14.4" x14ac:dyDescent="0.3">
      <c r="B62"/>
      <c r="C62"/>
      <c r="D62"/>
      <c r="E62"/>
      <c r="F62"/>
      <c r="G62"/>
      <c r="H62"/>
      <c r="I62"/>
    </row>
    <row r="63" spans="2:9" ht="14.4" x14ac:dyDescent="0.3">
      <c r="B63"/>
      <c r="C63"/>
      <c r="D63"/>
      <c r="E63"/>
      <c r="F63"/>
      <c r="G63"/>
      <c r="H63"/>
      <c r="I63"/>
    </row>
    <row r="64" spans="2:9" ht="14.4" x14ac:dyDescent="0.3">
      <c r="B64"/>
      <c r="C64"/>
      <c r="D64"/>
      <c r="E64"/>
      <c r="F64"/>
      <c r="G64"/>
      <c r="H64"/>
      <c r="I64"/>
    </row>
    <row r="65" spans="2:9" ht="14.4" x14ac:dyDescent="0.3">
      <c r="B65"/>
      <c r="C65"/>
      <c r="D65"/>
      <c r="E65"/>
      <c r="F65"/>
      <c r="G65"/>
      <c r="H65"/>
      <c r="I65"/>
    </row>
    <row r="66" spans="2:9" ht="14.4" x14ac:dyDescent="0.3">
      <c r="B66"/>
      <c r="C66"/>
      <c r="D66"/>
      <c r="E66"/>
      <c r="F66"/>
      <c r="G66"/>
      <c r="H66"/>
      <c r="I66"/>
    </row>
    <row r="67" spans="2:9" ht="14.4" x14ac:dyDescent="0.3">
      <c r="B67"/>
      <c r="C67"/>
      <c r="D67"/>
      <c r="E67"/>
      <c r="F67"/>
      <c r="G67"/>
      <c r="H67"/>
      <c r="I67"/>
    </row>
    <row r="68" spans="2:9" ht="14.4" x14ac:dyDescent="0.3">
      <c r="B68"/>
      <c r="C68"/>
      <c r="D68"/>
      <c r="E68"/>
      <c r="F68"/>
      <c r="G68"/>
      <c r="H68"/>
      <c r="I68"/>
    </row>
    <row r="69" spans="2:9" ht="14.4" x14ac:dyDescent="0.3">
      <c r="B69"/>
      <c r="C69"/>
      <c r="D69"/>
      <c r="E69"/>
      <c r="F69"/>
      <c r="G69"/>
      <c r="H69"/>
      <c r="I69"/>
    </row>
    <row r="70" spans="2:9" ht="14.4" x14ac:dyDescent="0.3">
      <c r="B70"/>
      <c r="C70"/>
      <c r="D70"/>
      <c r="E70"/>
      <c r="F70"/>
      <c r="G70"/>
      <c r="H70"/>
      <c r="I70"/>
    </row>
    <row r="71" spans="2:9" ht="14.4" x14ac:dyDescent="0.3">
      <c r="B71"/>
      <c r="C71"/>
      <c r="D71"/>
      <c r="E71"/>
      <c r="F71"/>
      <c r="G71"/>
      <c r="H71"/>
      <c r="I71"/>
    </row>
    <row r="72" spans="2:9" ht="14.4" x14ac:dyDescent="0.3">
      <c r="B72"/>
      <c r="C72"/>
      <c r="D72"/>
      <c r="E72"/>
      <c r="F72"/>
      <c r="G72"/>
      <c r="H72"/>
      <c r="I72"/>
    </row>
    <row r="73" spans="2:9" ht="14.4" x14ac:dyDescent="0.3">
      <c r="B73"/>
      <c r="C73"/>
      <c r="D73"/>
      <c r="E73"/>
      <c r="F73"/>
      <c r="G73"/>
      <c r="H73"/>
      <c r="I73"/>
    </row>
    <row r="74" spans="2:9" ht="14.4" x14ac:dyDescent="0.3">
      <c r="B74"/>
      <c r="C74"/>
      <c r="D74"/>
      <c r="E74"/>
      <c r="F74"/>
      <c r="G74"/>
      <c r="H74"/>
      <c r="I74"/>
    </row>
    <row r="75" spans="2:9" ht="14.4" x14ac:dyDescent="0.3">
      <c r="B75"/>
      <c r="C75"/>
      <c r="D75"/>
      <c r="E75"/>
      <c r="F75"/>
      <c r="G75"/>
      <c r="H75"/>
      <c r="I75"/>
    </row>
    <row r="76" spans="2:9" ht="14.4" x14ac:dyDescent="0.3">
      <c r="B76"/>
      <c r="C76"/>
      <c r="D76"/>
      <c r="E76"/>
      <c r="F76"/>
      <c r="G76"/>
      <c r="H76"/>
      <c r="I76"/>
    </row>
    <row r="77" spans="2:9" ht="14.4" x14ac:dyDescent="0.3">
      <c r="B77"/>
      <c r="C77"/>
      <c r="D77"/>
      <c r="E77"/>
      <c r="F77"/>
      <c r="G77"/>
      <c r="H77"/>
      <c r="I77"/>
    </row>
    <row r="78" spans="2:9" ht="14.4" x14ac:dyDescent="0.3">
      <c r="B78"/>
      <c r="C78"/>
      <c r="D78"/>
      <c r="E78"/>
      <c r="F78"/>
      <c r="G78"/>
      <c r="H78"/>
      <c r="I78"/>
    </row>
    <row r="79" spans="2:9" ht="14.4" x14ac:dyDescent="0.3">
      <c r="B79"/>
      <c r="C79"/>
      <c r="D79"/>
      <c r="E79"/>
      <c r="F79"/>
      <c r="G79"/>
      <c r="H79"/>
      <c r="I79"/>
    </row>
    <row r="80" spans="2:9" ht="14.4" x14ac:dyDescent="0.3">
      <c r="B80"/>
      <c r="C80"/>
      <c r="D80"/>
      <c r="E80"/>
      <c r="F80"/>
      <c r="G80"/>
      <c r="H80"/>
      <c r="I80"/>
    </row>
    <row r="81" spans="2:9" ht="14.4" x14ac:dyDescent="0.3">
      <c r="B81"/>
      <c r="C81"/>
      <c r="D81"/>
      <c r="E81"/>
      <c r="F81"/>
      <c r="G81"/>
      <c r="H81"/>
      <c r="I81"/>
    </row>
    <row r="82" spans="2:9" ht="14.4" x14ac:dyDescent="0.3">
      <c r="B82"/>
      <c r="C82"/>
      <c r="D82"/>
      <c r="E82"/>
      <c r="F82"/>
      <c r="G82"/>
      <c r="H82"/>
      <c r="I82"/>
    </row>
    <row r="83" spans="2:9" ht="14.4" x14ac:dyDescent="0.3">
      <c r="B83"/>
      <c r="C83"/>
      <c r="D83"/>
      <c r="E83"/>
      <c r="F83"/>
      <c r="G83"/>
      <c r="H83"/>
      <c r="I83"/>
    </row>
    <row r="84" spans="2:9" ht="14.4" x14ac:dyDescent="0.3">
      <c r="B84"/>
      <c r="C84"/>
      <c r="D84"/>
      <c r="E84"/>
      <c r="F84"/>
      <c r="G84"/>
      <c r="H84"/>
      <c r="I84"/>
    </row>
    <row r="85" spans="2:9" ht="14.4" x14ac:dyDescent="0.3">
      <c r="B85"/>
      <c r="C85"/>
      <c r="D85"/>
      <c r="E85"/>
      <c r="F85"/>
      <c r="G85"/>
      <c r="H85"/>
      <c r="I85"/>
    </row>
    <row r="86" spans="2:9" ht="14.4" x14ac:dyDescent="0.3">
      <c r="B86"/>
      <c r="C86"/>
      <c r="D86"/>
      <c r="E86"/>
      <c r="F86"/>
      <c r="G86"/>
      <c r="H86"/>
      <c r="I86"/>
    </row>
  </sheetData>
  <mergeCells count="15">
    <mergeCell ref="B18:I18"/>
    <mergeCell ref="B8:I8"/>
    <mergeCell ref="B16:I16"/>
    <mergeCell ref="B10:C10"/>
    <mergeCell ref="B11:C11"/>
    <mergeCell ref="B12:C12"/>
    <mergeCell ref="D10:I10"/>
    <mergeCell ref="D11:I11"/>
    <mergeCell ref="B1:C6"/>
    <mergeCell ref="D1:I3"/>
    <mergeCell ref="D4:I6"/>
    <mergeCell ref="D12:I12"/>
    <mergeCell ref="B15:I15"/>
    <mergeCell ref="B13:C13"/>
    <mergeCell ref="D13:I13"/>
  </mergeCells>
  <phoneticPr fontId="3" type="noConversion"/>
  <dataValidations count="5">
    <dataValidation type="list" allowBlank="1" showInputMessage="1" showErrorMessage="1" sqref="G20:G24" xr:uid="{55B76550-AF88-4A16-B076-317530E4D079}">
      <formula1>"Cab,Tech,Ing-1,Ing-2,Ing-3"</formula1>
    </dataValidation>
    <dataValidation type="whole" allowBlank="1" showInputMessage="1" showErrorMessage="1" sqref="H20:H24" xr:uid="{52F41353-731E-4E2F-A665-384C4CA9A65A}">
      <formula1>1</formula1>
      <formula2>100</formula2>
    </dataValidation>
    <dataValidation type="list" allowBlank="1" showInputMessage="1" showErrorMessage="1" sqref="C20:C24" xr:uid="{314E7CE1-EABC-424E-AF9F-9936DEC8AE20}">
      <formula1>INDIRECT("Tableau5")</formula1>
    </dataValidation>
    <dataValidation type="list" allowBlank="1" showInputMessage="1" showErrorMessage="1" sqref="B20:B24" xr:uid="{D7F2F755-2DC7-4215-A08F-A0F9D01CB6C8}">
      <formula1>"Phase 1,Phase 2,Phase 3"</formula1>
    </dataValidation>
    <dataValidation type="list" allowBlank="1" showInputMessage="1" showErrorMessage="1" sqref="D20:D24" xr:uid="{2F462506-A820-43CB-854A-A02EBABF2C37}">
      <formula1>INDIRECT($C20)</formula1>
    </dataValidation>
  </dataValidations>
  <pageMargins left="0.23622047244094491" right="0.23622047244094491" top="0.35433070866141736" bottom="0.35433070866141736" header="0.31496062992125984" footer="0.31496062992125984"/>
  <pageSetup paperSize="9" scale="78" fitToHeight="0" orientation="portrait" r:id="rId2"/>
  <headerFooter>
    <oddFooter>&amp;C&amp;"Arial,Gras"&amp;10&amp;KA41D66Company Confidential – Client / Vendor Information NextHope ©</oddFooter>
  </headerFooter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3463-DEE4-435A-9C34-22E4AC6B8EB2}">
  <sheetPr codeName="Feuil1">
    <pageSetUpPr fitToPage="1"/>
  </sheetPr>
  <dimension ref="B1:DH122"/>
  <sheetViews>
    <sheetView showGridLines="0" zoomScaleNormal="100" zoomScaleSheetLayoutView="100" workbookViewId="0">
      <selection activeCell="DL118" sqref="DL118"/>
    </sheetView>
  </sheetViews>
  <sheetFormatPr baseColWidth="10" defaultColWidth="10.8984375" defaultRowHeight="10.4" x14ac:dyDescent="0.3"/>
  <cols>
    <col min="1" max="1" width="2.296875" style="1" customWidth="1"/>
    <col min="2" max="2" width="56.09765625" style="1" customWidth="1"/>
    <col min="3" max="3" width="13.69921875" style="1" bestFit="1" customWidth="1"/>
    <col min="4" max="4" width="8.8984375" style="5" bestFit="1" customWidth="1"/>
    <col min="5" max="5" width="8.09765625" style="5" bestFit="1" customWidth="1"/>
    <col min="6" max="6" width="8.69921875" style="5" bestFit="1" customWidth="1"/>
    <col min="7" max="35" width="3.3984375" style="5" customWidth="1"/>
    <col min="36" max="112" width="3.3984375" style="1" customWidth="1"/>
    <col min="113" max="16384" width="10.8984375" style="1"/>
  </cols>
  <sheetData>
    <row r="1" spans="2:112" ht="33.700000000000003" customHeight="1" x14ac:dyDescent="0.3">
      <c r="B1" s="106" t="str">
        <f>SoW!D4</f>
        <v>Refonte de l’Infrastructure d’Interconnexion Multi-sites de LPSA</v>
      </c>
      <c r="C1" s="106"/>
      <c r="D1" s="106"/>
      <c r="E1" s="40"/>
    </row>
    <row r="2" spans="2:112" ht="9.9499999999999993" customHeight="1" x14ac:dyDescent="0.3">
      <c r="B2" s="106"/>
      <c r="C2" s="106"/>
      <c r="D2" s="106"/>
      <c r="E2" s="40"/>
    </row>
    <row r="3" spans="2:112" ht="9.9499999999999993" customHeight="1" x14ac:dyDescent="0.3">
      <c r="B3" s="39"/>
      <c r="C3" s="39"/>
      <c r="D3" s="39"/>
      <c r="E3" s="40"/>
    </row>
    <row r="4" spans="2:112" ht="15.55" x14ac:dyDescent="0.3">
      <c r="B4" s="105" t="s">
        <v>36</v>
      </c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5"/>
      <c r="AK4" s="105"/>
      <c r="AL4" s="105"/>
    </row>
    <row r="5" spans="2:112" ht="15.55" x14ac:dyDescent="0.3"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59"/>
      <c r="BH5" s="59"/>
      <c r="BI5" s="59"/>
      <c r="BJ5" s="59"/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  <c r="BW5" s="59"/>
      <c r="BX5" s="59"/>
      <c r="BY5" s="59"/>
      <c r="BZ5" s="59"/>
      <c r="CA5" s="59"/>
      <c r="CB5" s="59"/>
      <c r="CC5" s="59"/>
      <c r="CD5" s="59"/>
      <c r="CE5" s="59"/>
      <c r="CF5" s="59"/>
      <c r="CG5" s="59"/>
      <c r="CH5" s="59"/>
      <c r="CI5" s="59"/>
      <c r="CJ5" s="59"/>
      <c r="CK5" s="59"/>
      <c r="CL5" s="59"/>
      <c r="CM5" s="59"/>
      <c r="CN5" s="59"/>
      <c r="CO5" s="59"/>
      <c r="CP5" s="59"/>
      <c r="CQ5" s="59"/>
      <c r="CR5" s="59"/>
      <c r="CS5" s="59"/>
      <c r="CT5" s="59"/>
      <c r="CU5" s="59"/>
      <c r="CV5" s="59"/>
      <c r="CW5" s="59"/>
      <c r="CX5" s="59"/>
      <c r="CY5" s="59"/>
      <c r="CZ5" s="59"/>
      <c r="DA5" s="59"/>
      <c r="DB5" s="59"/>
      <c r="DC5" s="59"/>
      <c r="DD5" s="59"/>
      <c r="DE5" s="59"/>
      <c r="DF5" s="59"/>
      <c r="DG5" s="59"/>
      <c r="DH5" s="59"/>
    </row>
    <row r="6" spans="2:112" ht="17.3" customHeight="1" x14ac:dyDescent="0.3">
      <c r="D6" s="1"/>
      <c r="E6" s="1"/>
    </row>
    <row r="7" spans="2:112" ht="13" customHeight="1" x14ac:dyDescent="0.3">
      <c r="B7" s="44" t="s">
        <v>37</v>
      </c>
      <c r="C7" s="45">
        <v>0</v>
      </c>
      <c r="D7" s="3"/>
      <c r="E7" s="3"/>
      <c r="F7" s="16"/>
    </row>
    <row r="8" spans="2:112" x14ac:dyDescent="0.3">
      <c r="B8" s="11" t="s">
        <v>38</v>
      </c>
      <c r="C8" s="41">
        <f>DATE(2025, 6, 30)</f>
        <v>45838</v>
      </c>
      <c r="D8" s="3"/>
      <c r="E8" s="3"/>
      <c r="F8" s="16"/>
      <c r="H8" s="42" t="str">
        <f>IF($C$10="Jour",IF($C$11="Non",_xlfn.CONCAT("M",MONTH(H11)),PROPER(TEXT(H11,"mmm"))),"")</f>
        <v>Juin</v>
      </c>
      <c r="I8" s="42" t="str">
        <f>IF($C$10="Jour",IF($C$11="Non",IF(MONTH(I11)=MONTH(H11),"",_xlfn.CONCAT("M",MONTH(I11))),IF(MONTH(I11)=MONTH(H11),"",PROPER(TEXT(I11,"mmm")))),"")</f>
        <v>Juil</v>
      </c>
      <c r="J8" s="42" t="str">
        <f t="shared" ref="J8:AL8" si="0">IF($C$10="Jour",IF($C$11="Non",IF(MONTH(J11)=MONTH(I11),"",_xlfn.CONCAT("M",MONTH(J11))),IF(MONTH(J11)=MONTH(I11),"",PROPER(TEXT(J11,"mmm")))),"")</f>
        <v/>
      </c>
      <c r="K8" s="42" t="str">
        <f t="shared" si="0"/>
        <v/>
      </c>
      <c r="L8" s="42" t="str">
        <f t="shared" si="0"/>
        <v/>
      </c>
      <c r="M8" s="42" t="str">
        <f t="shared" si="0"/>
        <v/>
      </c>
      <c r="N8" s="42" t="str">
        <f t="shared" si="0"/>
        <v/>
      </c>
      <c r="O8" s="42" t="str">
        <f t="shared" si="0"/>
        <v/>
      </c>
      <c r="P8" s="42" t="str">
        <f t="shared" si="0"/>
        <v/>
      </c>
      <c r="Q8" s="42" t="str">
        <f t="shared" si="0"/>
        <v/>
      </c>
      <c r="R8" s="42" t="str">
        <f t="shared" si="0"/>
        <v/>
      </c>
      <c r="S8" s="42" t="str">
        <f t="shared" si="0"/>
        <v/>
      </c>
      <c r="T8" s="42" t="str">
        <f t="shared" si="0"/>
        <v/>
      </c>
      <c r="U8" s="42" t="str">
        <f t="shared" si="0"/>
        <v/>
      </c>
      <c r="V8" s="42" t="str">
        <f t="shared" si="0"/>
        <v/>
      </c>
      <c r="W8" s="42" t="str">
        <f t="shared" si="0"/>
        <v/>
      </c>
      <c r="X8" s="42" t="str">
        <f t="shared" si="0"/>
        <v/>
      </c>
      <c r="Y8" s="42" t="str">
        <f t="shared" si="0"/>
        <v/>
      </c>
      <c r="Z8" s="42" t="str">
        <f t="shared" si="0"/>
        <v/>
      </c>
      <c r="AA8" s="42" t="str">
        <f t="shared" si="0"/>
        <v/>
      </c>
      <c r="AB8" s="42" t="str">
        <f t="shared" si="0"/>
        <v/>
      </c>
      <c r="AC8" s="42" t="str">
        <f t="shared" si="0"/>
        <v/>
      </c>
      <c r="AD8" s="42" t="str">
        <f t="shared" si="0"/>
        <v/>
      </c>
      <c r="AE8" s="42" t="str">
        <f t="shared" si="0"/>
        <v/>
      </c>
      <c r="AF8" s="42" t="str">
        <f t="shared" si="0"/>
        <v/>
      </c>
      <c r="AG8" s="42" t="str">
        <f t="shared" si="0"/>
        <v/>
      </c>
      <c r="AH8" s="42" t="str">
        <f t="shared" si="0"/>
        <v/>
      </c>
      <c r="AI8" s="42" t="str">
        <f t="shared" si="0"/>
        <v/>
      </c>
      <c r="AJ8" s="42" t="str">
        <f t="shared" si="0"/>
        <v/>
      </c>
      <c r="AK8" s="42" t="str">
        <f t="shared" si="0"/>
        <v/>
      </c>
      <c r="AL8" s="42" t="str">
        <f t="shared" si="0"/>
        <v/>
      </c>
      <c r="AM8" s="42" t="str">
        <f t="shared" ref="AM8" si="1">IF($C$10="Jour",IF($C$11="Non",IF(MONTH(AM11)=MONTH(AL11),"",_xlfn.CONCAT("M",MONTH(AM11))),IF(MONTH(AM11)=MONTH(AL11),"",PROPER(TEXT(AM11,"mmm")))),"")</f>
        <v/>
      </c>
      <c r="AN8" s="42" t="str">
        <f t="shared" ref="AN8" si="2">IF($C$10="Jour",IF($C$11="Non",IF(MONTH(AN11)=MONTH(AM11),"",_xlfn.CONCAT("M",MONTH(AN11))),IF(MONTH(AN11)=MONTH(AM11),"",PROPER(TEXT(AN11,"mmm")))),"")</f>
        <v>Août</v>
      </c>
      <c r="AO8" s="42" t="str">
        <f t="shared" ref="AO8" si="3">IF($C$10="Jour",IF($C$11="Non",IF(MONTH(AO11)=MONTH(AN11),"",_xlfn.CONCAT("M",MONTH(AO11))),IF(MONTH(AO11)=MONTH(AN11),"",PROPER(TEXT(AO11,"mmm")))),"")</f>
        <v/>
      </c>
      <c r="AP8" s="42" t="str">
        <f t="shared" ref="AP8" si="4">IF($C$10="Jour",IF($C$11="Non",IF(MONTH(AP11)=MONTH(AO11),"",_xlfn.CONCAT("M",MONTH(AP11))),IF(MONTH(AP11)=MONTH(AO11),"",PROPER(TEXT(AP11,"mmm")))),"")</f>
        <v/>
      </c>
      <c r="AQ8" s="42" t="str">
        <f t="shared" ref="AQ8" si="5">IF($C$10="Jour",IF($C$11="Non",IF(MONTH(AQ11)=MONTH(AP11),"",_xlfn.CONCAT("M",MONTH(AQ11))),IF(MONTH(AQ11)=MONTH(AP11),"",PROPER(TEXT(AQ11,"mmm")))),"")</f>
        <v/>
      </c>
      <c r="AR8" s="42" t="str">
        <f t="shared" ref="AR8" si="6">IF($C$10="Jour",IF($C$11="Non",IF(MONTH(AR11)=MONTH(AQ11),"",_xlfn.CONCAT("M",MONTH(AR11))),IF(MONTH(AR11)=MONTH(AQ11),"",PROPER(TEXT(AR11,"mmm")))),"")</f>
        <v/>
      </c>
      <c r="AS8" s="42" t="str">
        <f t="shared" ref="AS8" si="7">IF($C$10="Jour",IF($C$11="Non",IF(MONTH(AS11)=MONTH(AR11),"",_xlfn.CONCAT("M",MONTH(AS11))),IF(MONTH(AS11)=MONTH(AR11),"",PROPER(TEXT(AS11,"mmm")))),"")</f>
        <v/>
      </c>
      <c r="AT8" s="42" t="str">
        <f t="shared" ref="AT8" si="8">IF($C$10="Jour",IF($C$11="Non",IF(MONTH(AT11)=MONTH(AS11),"",_xlfn.CONCAT("M",MONTH(AT11))),IF(MONTH(AT11)=MONTH(AS11),"",PROPER(TEXT(AT11,"mmm")))),"")</f>
        <v/>
      </c>
      <c r="AU8" s="42" t="str">
        <f t="shared" ref="AU8" si="9">IF($C$10="Jour",IF($C$11="Non",IF(MONTH(AU11)=MONTH(AT11),"",_xlfn.CONCAT("M",MONTH(AU11))),IF(MONTH(AU11)=MONTH(AT11),"",PROPER(TEXT(AU11,"mmm")))),"")</f>
        <v/>
      </c>
      <c r="AV8" s="42" t="str">
        <f t="shared" ref="AV8" si="10">IF($C$10="Jour",IF($C$11="Non",IF(MONTH(AV11)=MONTH(AU11),"",_xlfn.CONCAT("M",MONTH(AV11))),IF(MONTH(AV11)=MONTH(AU11),"",PROPER(TEXT(AV11,"mmm")))),"")</f>
        <v/>
      </c>
      <c r="AW8" s="42" t="str">
        <f t="shared" ref="AW8" si="11">IF($C$10="Jour",IF($C$11="Non",IF(MONTH(AW11)=MONTH(AV11),"",_xlfn.CONCAT("M",MONTH(AW11))),IF(MONTH(AW11)=MONTH(AV11),"",PROPER(TEXT(AW11,"mmm")))),"")</f>
        <v/>
      </c>
      <c r="AX8" s="42" t="str">
        <f t="shared" ref="AX8" si="12">IF($C$10="Jour",IF($C$11="Non",IF(MONTH(AX11)=MONTH(AW11),"",_xlfn.CONCAT("M",MONTH(AX11))),IF(MONTH(AX11)=MONTH(AW11),"",PROPER(TEXT(AX11,"mmm")))),"")</f>
        <v/>
      </c>
      <c r="AY8" s="42" t="str">
        <f t="shared" ref="AY8" si="13">IF($C$10="Jour",IF($C$11="Non",IF(MONTH(AY11)=MONTH(AX11),"",_xlfn.CONCAT("M",MONTH(AY11))),IF(MONTH(AY11)=MONTH(AX11),"",PROPER(TEXT(AY11,"mmm")))),"")</f>
        <v/>
      </c>
      <c r="AZ8" s="42" t="str">
        <f t="shared" ref="AZ8" si="14">IF($C$10="Jour",IF($C$11="Non",IF(MONTH(AZ11)=MONTH(AY11),"",_xlfn.CONCAT("M",MONTH(AZ11))),IF(MONTH(AZ11)=MONTH(AY11),"",PROPER(TEXT(AZ11,"mmm")))),"")</f>
        <v/>
      </c>
      <c r="BA8" s="42" t="str">
        <f t="shared" ref="BA8" si="15">IF($C$10="Jour",IF($C$11="Non",IF(MONTH(BA11)=MONTH(AZ11),"",_xlfn.CONCAT("M",MONTH(BA11))),IF(MONTH(BA11)=MONTH(AZ11),"",PROPER(TEXT(BA11,"mmm")))),"")</f>
        <v/>
      </c>
      <c r="BB8" s="42" t="str">
        <f t="shared" ref="BB8" si="16">IF($C$10="Jour",IF($C$11="Non",IF(MONTH(BB11)=MONTH(BA11),"",_xlfn.CONCAT("M",MONTH(BB11))),IF(MONTH(BB11)=MONTH(BA11),"",PROPER(TEXT(BB11,"mmm")))),"")</f>
        <v/>
      </c>
      <c r="BC8" s="42" t="str">
        <f t="shared" ref="BC8" si="17">IF($C$10="Jour",IF($C$11="Non",IF(MONTH(BC11)=MONTH(BB11),"",_xlfn.CONCAT("M",MONTH(BC11))),IF(MONTH(BC11)=MONTH(BB11),"",PROPER(TEXT(BC11,"mmm")))),"")</f>
        <v/>
      </c>
      <c r="BD8" s="42" t="str">
        <f t="shared" ref="BD8" si="18">IF($C$10="Jour",IF($C$11="Non",IF(MONTH(BD11)=MONTH(BC11),"",_xlfn.CONCAT("M",MONTH(BD11))),IF(MONTH(BD11)=MONTH(BC11),"",PROPER(TEXT(BD11,"mmm")))),"")</f>
        <v/>
      </c>
      <c r="BE8" s="42" t="str">
        <f t="shared" ref="BE8" si="19">IF($C$10="Jour",IF($C$11="Non",IF(MONTH(BE11)=MONTH(BD11),"",_xlfn.CONCAT("M",MONTH(BE11))),IF(MONTH(BE11)=MONTH(BD11),"",PROPER(TEXT(BE11,"mmm")))),"")</f>
        <v/>
      </c>
      <c r="BF8" s="42" t="str">
        <f t="shared" ref="BF8" si="20">IF($C$10="Jour",IF($C$11="Non",IF(MONTH(BF11)=MONTH(BE11),"",_xlfn.CONCAT("M",MONTH(BF11))),IF(MONTH(BF11)=MONTH(BE11),"",PROPER(TEXT(BF11,"mmm")))),"")</f>
        <v/>
      </c>
      <c r="BG8" s="42" t="str">
        <f t="shared" ref="BG8" si="21">IF($C$10="Jour",IF($C$11="Non",IF(MONTH(BG11)=MONTH(BF11),"",_xlfn.CONCAT("M",MONTH(BG11))),IF(MONTH(BG11)=MONTH(BF11),"",PROPER(TEXT(BG11,"mmm")))),"")</f>
        <v/>
      </c>
      <c r="BH8" s="42" t="str">
        <f t="shared" ref="BH8" si="22">IF($C$10="Jour",IF($C$11="Non",IF(MONTH(BH11)=MONTH(BG11),"",_xlfn.CONCAT("M",MONTH(BH11))),IF(MONTH(BH11)=MONTH(BG11),"",PROPER(TEXT(BH11,"mmm")))),"")</f>
        <v/>
      </c>
      <c r="BI8" s="42" t="str">
        <f t="shared" ref="BI8" si="23">IF($C$10="Jour",IF($C$11="Non",IF(MONTH(BI11)=MONTH(BH11),"",_xlfn.CONCAT("M",MONTH(BI11))),IF(MONTH(BI11)=MONTH(BH11),"",PROPER(TEXT(BI11,"mmm")))),"")</f>
        <v/>
      </c>
      <c r="BJ8" s="42" t="str">
        <f t="shared" ref="BJ8" si="24">IF($C$10="Jour",IF($C$11="Non",IF(MONTH(BJ11)=MONTH(BI11),"",_xlfn.CONCAT("M",MONTH(BJ11))),IF(MONTH(BJ11)=MONTH(BI11),"",PROPER(TEXT(BJ11,"mmm")))),"")</f>
        <v/>
      </c>
      <c r="BK8" s="42" t="str">
        <f t="shared" ref="BK8" si="25">IF($C$10="Jour",IF($C$11="Non",IF(MONTH(BK11)=MONTH(BJ11),"",_xlfn.CONCAT("M",MONTH(BK11))),IF(MONTH(BK11)=MONTH(BJ11),"",PROPER(TEXT(BK11,"mmm")))),"")</f>
        <v/>
      </c>
      <c r="BL8" s="42" t="str">
        <f t="shared" ref="BL8" si="26">IF($C$10="Jour",IF($C$11="Non",IF(MONTH(BL11)=MONTH(BK11),"",_xlfn.CONCAT("M",MONTH(BL11))),IF(MONTH(BL11)=MONTH(BK11),"",PROPER(TEXT(BL11,"mmm")))),"")</f>
        <v/>
      </c>
      <c r="BM8" s="42" t="str">
        <f t="shared" ref="BM8" si="27">IF($C$10="Jour",IF($C$11="Non",IF(MONTH(BM11)=MONTH(BL11),"",_xlfn.CONCAT("M",MONTH(BM11))),IF(MONTH(BM11)=MONTH(BL11),"",PROPER(TEXT(BM11,"mmm")))),"")</f>
        <v/>
      </c>
      <c r="BN8" s="42" t="str">
        <f t="shared" ref="BN8" si="28">IF($C$10="Jour",IF($C$11="Non",IF(MONTH(BN11)=MONTH(BM11),"",_xlfn.CONCAT("M",MONTH(BN11))),IF(MONTH(BN11)=MONTH(BM11),"",PROPER(TEXT(BN11,"mmm")))),"")</f>
        <v/>
      </c>
      <c r="BO8" s="42" t="str">
        <f t="shared" ref="BO8" si="29">IF($C$10="Jour",IF($C$11="Non",IF(MONTH(BO11)=MONTH(BN11),"",_xlfn.CONCAT("M",MONTH(BO11))),IF(MONTH(BO11)=MONTH(BN11),"",PROPER(TEXT(BO11,"mmm")))),"")</f>
        <v/>
      </c>
      <c r="BP8" s="42" t="str">
        <f t="shared" ref="BP8" si="30">IF($C$10="Jour",IF($C$11="Non",IF(MONTH(BP11)=MONTH(BO11),"",_xlfn.CONCAT("M",MONTH(BP11))),IF(MONTH(BP11)=MONTH(BO11),"",PROPER(TEXT(BP11,"mmm")))),"")</f>
        <v/>
      </c>
      <c r="BQ8" s="42" t="str">
        <f t="shared" ref="BQ8" si="31">IF($C$10="Jour",IF($C$11="Non",IF(MONTH(BQ11)=MONTH(BP11),"",_xlfn.CONCAT("M",MONTH(BQ11))),IF(MONTH(BQ11)=MONTH(BP11),"",PROPER(TEXT(BQ11,"mmm")))),"")</f>
        <v/>
      </c>
      <c r="BR8" s="42" t="str">
        <f t="shared" ref="BR8" si="32">IF($C$10="Jour",IF($C$11="Non",IF(MONTH(BR11)=MONTH(BQ11),"",_xlfn.CONCAT("M",MONTH(BR11))),IF(MONTH(BR11)=MONTH(BQ11),"",PROPER(TEXT(BR11,"mmm")))),"")</f>
        <v/>
      </c>
      <c r="BS8" s="42" t="str">
        <f t="shared" ref="BS8" si="33">IF($C$10="Jour",IF($C$11="Non",IF(MONTH(BS11)=MONTH(BR11),"",_xlfn.CONCAT("M",MONTH(BS11))),IF(MONTH(BS11)=MONTH(BR11),"",PROPER(TEXT(BS11,"mmm")))),"")</f>
        <v>Sept</v>
      </c>
      <c r="BT8" s="42" t="str">
        <f t="shared" ref="BT8" si="34">IF($C$10="Jour",IF($C$11="Non",IF(MONTH(BT11)=MONTH(BS11),"",_xlfn.CONCAT("M",MONTH(BT11))),IF(MONTH(BT11)=MONTH(BS11),"",PROPER(TEXT(BT11,"mmm")))),"")</f>
        <v/>
      </c>
      <c r="BU8" s="42" t="str">
        <f t="shared" ref="BU8" si="35">IF($C$10="Jour",IF($C$11="Non",IF(MONTH(BU11)=MONTH(BT11),"",_xlfn.CONCAT("M",MONTH(BU11))),IF(MONTH(BU11)=MONTH(BT11),"",PROPER(TEXT(BU11,"mmm")))),"")</f>
        <v/>
      </c>
      <c r="BV8" s="42" t="str">
        <f t="shared" ref="BV8" si="36">IF($C$10="Jour",IF($C$11="Non",IF(MONTH(BV11)=MONTH(BU11),"",_xlfn.CONCAT("M",MONTH(BV11))),IF(MONTH(BV11)=MONTH(BU11),"",PROPER(TEXT(BV11,"mmm")))),"")</f>
        <v/>
      </c>
      <c r="BW8" s="42" t="str">
        <f t="shared" ref="BW8" si="37">IF($C$10="Jour",IF($C$11="Non",IF(MONTH(BW11)=MONTH(BV11),"",_xlfn.CONCAT("M",MONTH(BW11))),IF(MONTH(BW11)=MONTH(BV11),"",PROPER(TEXT(BW11,"mmm")))),"")</f>
        <v/>
      </c>
      <c r="BX8" s="42" t="str">
        <f t="shared" ref="BX8" si="38">IF($C$10="Jour",IF($C$11="Non",IF(MONTH(BX11)=MONTH(BW11),"",_xlfn.CONCAT("M",MONTH(BX11))),IF(MONTH(BX11)=MONTH(BW11),"",PROPER(TEXT(BX11,"mmm")))),"")</f>
        <v/>
      </c>
      <c r="BY8" s="42" t="str">
        <f t="shared" ref="BY8" si="39">IF($C$10="Jour",IF($C$11="Non",IF(MONTH(BY11)=MONTH(BX11),"",_xlfn.CONCAT("M",MONTH(BY11))),IF(MONTH(BY11)=MONTH(BX11),"",PROPER(TEXT(BY11,"mmm")))),"")</f>
        <v/>
      </c>
      <c r="BZ8" s="42" t="str">
        <f t="shared" ref="BZ8" si="40">IF($C$10="Jour",IF($C$11="Non",IF(MONTH(BZ11)=MONTH(BY11),"",_xlfn.CONCAT("M",MONTH(BZ11))),IF(MONTH(BZ11)=MONTH(BY11),"",PROPER(TEXT(BZ11,"mmm")))),"")</f>
        <v/>
      </c>
      <c r="CA8" s="42" t="str">
        <f t="shared" ref="CA8" si="41">IF($C$10="Jour",IF($C$11="Non",IF(MONTH(CA11)=MONTH(BZ11),"",_xlfn.CONCAT("M",MONTH(CA11))),IF(MONTH(CA11)=MONTH(BZ11),"",PROPER(TEXT(CA11,"mmm")))),"")</f>
        <v/>
      </c>
      <c r="CB8" s="42" t="str">
        <f t="shared" ref="CB8" si="42">IF($C$10="Jour",IF($C$11="Non",IF(MONTH(CB11)=MONTH(CA11),"",_xlfn.CONCAT("M",MONTH(CB11))),IF(MONTH(CB11)=MONTH(CA11),"",PROPER(TEXT(CB11,"mmm")))),"")</f>
        <v/>
      </c>
      <c r="CC8" s="42" t="str">
        <f t="shared" ref="CC8" si="43">IF($C$10="Jour",IF($C$11="Non",IF(MONTH(CC11)=MONTH(CB11),"",_xlfn.CONCAT("M",MONTH(CC11))),IF(MONTH(CC11)=MONTH(CB11),"",PROPER(TEXT(CC11,"mmm")))),"")</f>
        <v/>
      </c>
      <c r="CD8" s="42" t="str">
        <f t="shared" ref="CD8" si="44">IF($C$10="Jour",IF($C$11="Non",IF(MONTH(CD11)=MONTH(CC11),"",_xlfn.CONCAT("M",MONTH(CD11))),IF(MONTH(CD11)=MONTH(CC11),"",PROPER(TEXT(CD11,"mmm")))),"")</f>
        <v/>
      </c>
      <c r="CE8" s="42" t="str">
        <f t="shared" ref="CE8" si="45">IF($C$10="Jour",IF($C$11="Non",IF(MONTH(CE11)=MONTH(CD11),"",_xlfn.CONCAT("M",MONTH(CE11))),IF(MONTH(CE11)=MONTH(CD11),"",PROPER(TEXT(CE11,"mmm")))),"")</f>
        <v/>
      </c>
      <c r="CF8" s="42" t="str">
        <f t="shared" ref="CF8" si="46">IF($C$10="Jour",IF($C$11="Non",IF(MONTH(CF11)=MONTH(CE11),"",_xlfn.CONCAT("M",MONTH(CF11))),IF(MONTH(CF11)=MONTH(CE11),"",PROPER(TEXT(CF11,"mmm")))),"")</f>
        <v/>
      </c>
      <c r="CG8" s="42" t="str">
        <f t="shared" ref="CG8" si="47">IF($C$10="Jour",IF($C$11="Non",IF(MONTH(CG11)=MONTH(CF11),"",_xlfn.CONCAT("M",MONTH(CG11))),IF(MONTH(CG11)=MONTH(CF11),"",PROPER(TEXT(CG11,"mmm")))),"")</f>
        <v/>
      </c>
      <c r="CH8" s="42" t="str">
        <f t="shared" ref="CH8" si="48">IF($C$10="Jour",IF($C$11="Non",IF(MONTH(CH11)=MONTH(CG11),"",_xlfn.CONCAT("M",MONTH(CH11))),IF(MONTH(CH11)=MONTH(CG11),"",PROPER(TEXT(CH11,"mmm")))),"")</f>
        <v/>
      </c>
      <c r="CI8" s="42" t="str">
        <f t="shared" ref="CI8" si="49">IF($C$10="Jour",IF($C$11="Non",IF(MONTH(CI11)=MONTH(CH11),"",_xlfn.CONCAT("M",MONTH(CI11))),IF(MONTH(CI11)=MONTH(CH11),"",PROPER(TEXT(CI11,"mmm")))),"")</f>
        <v/>
      </c>
      <c r="CJ8" s="42" t="str">
        <f t="shared" ref="CJ8" si="50">IF($C$10="Jour",IF($C$11="Non",IF(MONTH(CJ11)=MONTH(CI11),"",_xlfn.CONCAT("M",MONTH(CJ11))),IF(MONTH(CJ11)=MONTH(CI11),"",PROPER(TEXT(CJ11,"mmm")))),"")</f>
        <v/>
      </c>
      <c r="CK8" s="42" t="str">
        <f t="shared" ref="CK8" si="51">IF($C$10="Jour",IF($C$11="Non",IF(MONTH(CK11)=MONTH(CJ11),"",_xlfn.CONCAT("M",MONTH(CK11))),IF(MONTH(CK11)=MONTH(CJ11),"",PROPER(TEXT(CK11,"mmm")))),"")</f>
        <v/>
      </c>
      <c r="CL8" s="42" t="str">
        <f t="shared" ref="CL8" si="52">IF($C$10="Jour",IF($C$11="Non",IF(MONTH(CL11)=MONTH(CK11),"",_xlfn.CONCAT("M",MONTH(CL11))),IF(MONTH(CL11)=MONTH(CK11),"",PROPER(TEXT(CL11,"mmm")))),"")</f>
        <v/>
      </c>
      <c r="CM8" s="42" t="str">
        <f t="shared" ref="CM8" si="53">IF($C$10="Jour",IF($C$11="Non",IF(MONTH(CM11)=MONTH(CL11),"",_xlfn.CONCAT("M",MONTH(CM11))),IF(MONTH(CM11)=MONTH(CL11),"",PROPER(TEXT(CM11,"mmm")))),"")</f>
        <v/>
      </c>
      <c r="CN8" s="42" t="str">
        <f t="shared" ref="CN8" si="54">IF($C$10="Jour",IF($C$11="Non",IF(MONTH(CN11)=MONTH(CM11),"",_xlfn.CONCAT("M",MONTH(CN11))),IF(MONTH(CN11)=MONTH(CM11),"",PROPER(TEXT(CN11,"mmm")))),"")</f>
        <v/>
      </c>
      <c r="CO8" s="42" t="str">
        <f t="shared" ref="CO8" si="55">IF($C$10="Jour",IF($C$11="Non",IF(MONTH(CO11)=MONTH(CN11),"",_xlfn.CONCAT("M",MONTH(CO11))),IF(MONTH(CO11)=MONTH(CN11),"",PROPER(TEXT(CO11,"mmm")))),"")</f>
        <v/>
      </c>
      <c r="CP8" s="42" t="str">
        <f t="shared" ref="CP8" si="56">IF($C$10="Jour",IF($C$11="Non",IF(MONTH(CP11)=MONTH(CO11),"",_xlfn.CONCAT("M",MONTH(CP11))),IF(MONTH(CP11)=MONTH(CO11),"",PROPER(TEXT(CP11,"mmm")))),"")</f>
        <v/>
      </c>
      <c r="CQ8" s="42" t="str">
        <f t="shared" ref="CQ8" si="57">IF($C$10="Jour",IF($C$11="Non",IF(MONTH(CQ11)=MONTH(CP11),"",_xlfn.CONCAT("M",MONTH(CQ11))),IF(MONTH(CQ11)=MONTH(CP11),"",PROPER(TEXT(CQ11,"mmm")))),"")</f>
        <v/>
      </c>
      <c r="CR8" s="42" t="str">
        <f t="shared" ref="CR8" si="58">IF($C$10="Jour",IF($C$11="Non",IF(MONTH(CR11)=MONTH(CQ11),"",_xlfn.CONCAT("M",MONTH(CR11))),IF(MONTH(CR11)=MONTH(CQ11),"",PROPER(TEXT(CR11,"mmm")))),"")</f>
        <v/>
      </c>
      <c r="CS8" s="42" t="str">
        <f t="shared" ref="CS8" si="59">IF($C$10="Jour",IF($C$11="Non",IF(MONTH(CS11)=MONTH(CR11),"",_xlfn.CONCAT("M",MONTH(CS11))),IF(MONTH(CS11)=MONTH(CR11),"",PROPER(TEXT(CS11,"mmm")))),"")</f>
        <v/>
      </c>
      <c r="CT8" s="42" t="str">
        <f t="shared" ref="CT8" si="60">IF($C$10="Jour",IF($C$11="Non",IF(MONTH(CT11)=MONTH(CS11),"",_xlfn.CONCAT("M",MONTH(CT11))),IF(MONTH(CT11)=MONTH(CS11),"",PROPER(TEXT(CT11,"mmm")))),"")</f>
        <v/>
      </c>
      <c r="CU8" s="42" t="str">
        <f t="shared" ref="CU8" si="61">IF($C$10="Jour",IF($C$11="Non",IF(MONTH(CU11)=MONTH(CT11),"",_xlfn.CONCAT("M",MONTH(CU11))),IF(MONTH(CU11)=MONTH(CT11),"",PROPER(TEXT(CU11,"mmm")))),"")</f>
        <v/>
      </c>
      <c r="CV8" s="42" t="str">
        <f t="shared" ref="CV8" si="62">IF($C$10="Jour",IF($C$11="Non",IF(MONTH(CV11)=MONTH(CU11),"",_xlfn.CONCAT("M",MONTH(CV11))),IF(MONTH(CV11)=MONTH(CU11),"",PROPER(TEXT(CV11,"mmm")))),"")</f>
        <v/>
      </c>
      <c r="CW8" s="42" t="str">
        <f t="shared" ref="CW8" si="63">IF($C$10="Jour",IF($C$11="Non",IF(MONTH(CW11)=MONTH(CV11),"",_xlfn.CONCAT("M",MONTH(CW11))),IF(MONTH(CW11)=MONTH(CV11),"",PROPER(TEXT(CW11,"mmm")))),"")</f>
        <v>Oct</v>
      </c>
      <c r="CX8" s="42" t="str">
        <f t="shared" ref="CX8" si="64">IF($C$10="Jour",IF($C$11="Non",IF(MONTH(CX11)=MONTH(CW11),"",_xlfn.CONCAT("M",MONTH(CX11))),IF(MONTH(CX11)=MONTH(CW11),"",PROPER(TEXT(CX11,"mmm")))),"")</f>
        <v/>
      </c>
      <c r="CY8" s="42" t="str">
        <f t="shared" ref="CY8" si="65">IF($C$10="Jour",IF($C$11="Non",IF(MONTH(CY11)=MONTH(CX11),"",_xlfn.CONCAT("M",MONTH(CY11))),IF(MONTH(CY11)=MONTH(CX11),"",PROPER(TEXT(CY11,"mmm")))),"")</f>
        <v/>
      </c>
      <c r="CZ8" s="42" t="str">
        <f t="shared" ref="CZ8" si="66">IF($C$10="Jour",IF($C$11="Non",IF(MONTH(CZ11)=MONTH(CY11),"",_xlfn.CONCAT("M",MONTH(CZ11))),IF(MONTH(CZ11)=MONTH(CY11),"",PROPER(TEXT(CZ11,"mmm")))),"")</f>
        <v/>
      </c>
      <c r="DA8" s="42" t="str">
        <f t="shared" ref="DA8" si="67">IF($C$10="Jour",IF($C$11="Non",IF(MONTH(DA11)=MONTH(CZ11),"",_xlfn.CONCAT("M",MONTH(DA11))),IF(MONTH(DA11)=MONTH(CZ11),"",PROPER(TEXT(DA11,"mmm")))),"")</f>
        <v/>
      </c>
      <c r="DB8" s="42" t="str">
        <f t="shared" ref="DB8" si="68">IF($C$10="Jour",IF($C$11="Non",IF(MONTH(DB11)=MONTH(DA11),"",_xlfn.CONCAT("M",MONTH(DB11))),IF(MONTH(DB11)=MONTH(DA11),"",PROPER(TEXT(DB11,"mmm")))),"")</f>
        <v/>
      </c>
      <c r="DC8" s="42" t="str">
        <f t="shared" ref="DC8" si="69">IF($C$10="Jour",IF($C$11="Non",IF(MONTH(DC11)=MONTH(DB11),"",_xlfn.CONCAT("M",MONTH(DC11))),IF(MONTH(DC11)=MONTH(DB11),"",PROPER(TEXT(DC11,"mmm")))),"")</f>
        <v/>
      </c>
      <c r="DD8" s="42" t="str">
        <f t="shared" ref="DD8" si="70">IF($C$10="Jour",IF($C$11="Non",IF(MONTH(DD11)=MONTH(DC11),"",_xlfn.CONCAT("M",MONTH(DD11))),IF(MONTH(DD11)=MONTH(DC11),"",PROPER(TEXT(DD11,"mmm")))),"")</f>
        <v/>
      </c>
      <c r="DE8" s="42" t="str">
        <f t="shared" ref="DE8" si="71">IF($C$10="Jour",IF($C$11="Non",IF(MONTH(DE11)=MONTH(DD11),"",_xlfn.CONCAT("M",MONTH(DE11))),IF(MONTH(DE11)=MONTH(DD11),"",PROPER(TEXT(DE11,"mmm")))),"")</f>
        <v/>
      </c>
      <c r="DF8" s="42" t="str">
        <f t="shared" ref="DF8" si="72">IF($C$10="Jour",IF($C$11="Non",IF(MONTH(DF11)=MONTH(DE11),"",_xlfn.CONCAT("M",MONTH(DF11))),IF(MONTH(DF11)=MONTH(DE11),"",PROPER(TEXT(DF11,"mmm")))),"")</f>
        <v/>
      </c>
      <c r="DG8" s="42" t="str">
        <f t="shared" ref="DG8" si="73">IF($C$10="Jour",IF($C$11="Non",IF(MONTH(DG11)=MONTH(DF11),"",_xlfn.CONCAT("M",MONTH(DG11))),IF(MONTH(DG11)=MONTH(DF11),"",PROPER(TEXT(DG11,"mmm")))),"")</f>
        <v/>
      </c>
      <c r="DH8" s="42" t="str">
        <f t="shared" ref="DH8" si="74">IF($C$10="Jour",IF($C$11="Non",IF(MONTH(DH11)=MONTH(DG11),"",_xlfn.CONCAT("M",MONTH(DH11))),IF(MONTH(DH11)=MONTH(DG11),"",PROPER(TEXT(DH11,"mmm")))),"")</f>
        <v/>
      </c>
    </row>
    <row r="9" spans="2:112" x14ac:dyDescent="0.3">
      <c r="B9" s="11" t="s">
        <v>39</v>
      </c>
      <c r="C9" s="12" t="s">
        <v>40</v>
      </c>
      <c r="D9" s="3"/>
      <c r="E9" s="3"/>
      <c r="F9" s="16"/>
      <c r="H9" s="43" t="str" cm="1">
        <f t="array" ref="H9">IF($C$10="Jour",_xlfn.CONCAT("S",WEEKNUM(H11,11)),IF($C$11="Non",_xlfn.CONCAT("M",MONTH(H11)),PROPER(TEXT(H11,"mmm"))))</f>
        <v>S27</v>
      </c>
      <c r="I9" s="38" t="str">
        <f>IF($C$10="Jour",IF(WEEKNUM(I11,11)=WEEKNUM(H11,11),"",_xlfn.CONCAT("S",WEEKNUM(I11,11))),IF($C$11="Non",IF(MONTH(I11)=MONTH(H11),"",_xlfn.CONCAT("M",MONTH(I11))),IF(MONTH(I11)=MONTH(H11),"",PROPER(TEXT(I11,"mmm")))))</f>
        <v/>
      </c>
      <c r="J9" s="38" t="str">
        <f t="shared" ref="J9:AL9" si="75">IF($C$10="Jour",IF(WEEKNUM(J11,11)=WEEKNUM(I11,11),"",_xlfn.CONCAT("S",WEEKNUM(J11,11))),IF($C$11="Non",IF(MONTH(J11)=MONTH(I11),"",_xlfn.CONCAT("M",MONTH(J11))),IF(MONTH(J11)=MONTH(I11),"",PROPER(TEXT(J11,"mmm")))))</f>
        <v/>
      </c>
      <c r="K9" s="38" t="str">
        <f t="shared" si="75"/>
        <v/>
      </c>
      <c r="L9" s="38" t="str">
        <f t="shared" si="75"/>
        <v/>
      </c>
      <c r="M9" s="38" t="str">
        <f t="shared" si="75"/>
        <v/>
      </c>
      <c r="N9" s="38" t="str">
        <f t="shared" si="75"/>
        <v/>
      </c>
      <c r="O9" s="38" t="str" cm="1">
        <f t="array" ref="O9">IF($C$10="Jour",IF(WEEKNUM(O11,11)=WEEKNUM(N11,11),"",_xlfn.CONCAT("S",WEEKNUM(O11,11))),IF($C$11="Non",IF(MONTH(O11)=MONTH(N11),"",_xlfn.CONCAT("M",MONTH(O11))),IF(MONTH(O11)=MONTH(N11),"",PROPER(TEXT(O11,"mmm")))))</f>
        <v>S28</v>
      </c>
      <c r="P9" s="38" t="str">
        <f t="shared" si="75"/>
        <v/>
      </c>
      <c r="Q9" s="38" t="str">
        <f t="shared" si="75"/>
        <v/>
      </c>
      <c r="R9" s="38" t="str">
        <f t="shared" si="75"/>
        <v/>
      </c>
      <c r="S9" s="38" t="str">
        <f t="shared" si="75"/>
        <v/>
      </c>
      <c r="T9" s="38" t="str">
        <f t="shared" si="75"/>
        <v/>
      </c>
      <c r="U9" s="38" t="str">
        <f t="shared" si="75"/>
        <v/>
      </c>
      <c r="V9" s="38" t="str">
        <f t="shared" si="75"/>
        <v>S29</v>
      </c>
      <c r="W9" s="38" t="str">
        <f t="shared" si="75"/>
        <v/>
      </c>
      <c r="X9" s="38" t="str">
        <f t="shared" si="75"/>
        <v/>
      </c>
      <c r="Y9" s="38" t="str">
        <f t="shared" si="75"/>
        <v/>
      </c>
      <c r="Z9" s="38" t="str">
        <f t="shared" si="75"/>
        <v/>
      </c>
      <c r="AA9" s="38" t="str">
        <f t="shared" si="75"/>
        <v/>
      </c>
      <c r="AB9" s="38" t="str">
        <f t="shared" si="75"/>
        <v/>
      </c>
      <c r="AC9" s="38" t="str">
        <f t="shared" si="75"/>
        <v>S30</v>
      </c>
      <c r="AD9" s="38" t="str">
        <f t="shared" si="75"/>
        <v/>
      </c>
      <c r="AE9" s="38" t="str">
        <f t="shared" si="75"/>
        <v/>
      </c>
      <c r="AF9" s="38" t="str">
        <f t="shared" si="75"/>
        <v/>
      </c>
      <c r="AG9" s="38" t="str">
        <f t="shared" si="75"/>
        <v/>
      </c>
      <c r="AH9" s="38" t="str">
        <f t="shared" si="75"/>
        <v/>
      </c>
      <c r="AI9" s="38" t="str">
        <f t="shared" si="75"/>
        <v/>
      </c>
      <c r="AJ9" s="38" t="str">
        <f t="shared" si="75"/>
        <v>S31</v>
      </c>
      <c r="AK9" s="38" t="str">
        <f t="shared" si="75"/>
        <v/>
      </c>
      <c r="AL9" s="38" t="str">
        <f t="shared" si="75"/>
        <v/>
      </c>
      <c r="AM9" s="38" t="str">
        <f t="shared" ref="AM9" si="76">IF($C$10="Jour",IF(WEEKNUM(AM11,11)=WEEKNUM(AL11,11),"",_xlfn.CONCAT("S",WEEKNUM(AM11,11))),IF($C$11="Non",IF(MONTH(AM11)=MONTH(AL11),"",_xlfn.CONCAT("M",MONTH(AM11))),IF(MONTH(AM11)=MONTH(AL11),"",PROPER(TEXT(AM11,"mmm")))))</f>
        <v/>
      </c>
      <c r="AN9" s="38" t="str">
        <f t="shared" ref="AN9" si="77">IF($C$10="Jour",IF(WEEKNUM(AN11,11)=WEEKNUM(AM11,11),"",_xlfn.CONCAT("S",WEEKNUM(AN11,11))),IF($C$11="Non",IF(MONTH(AN11)=MONTH(AM11),"",_xlfn.CONCAT("M",MONTH(AN11))),IF(MONTH(AN11)=MONTH(AM11),"",PROPER(TEXT(AN11,"mmm")))))</f>
        <v/>
      </c>
      <c r="AO9" s="38" t="str">
        <f t="shared" ref="AO9" si="78">IF($C$10="Jour",IF(WEEKNUM(AO11,11)=WEEKNUM(AN11,11),"",_xlfn.CONCAT("S",WEEKNUM(AO11,11))),IF($C$11="Non",IF(MONTH(AO11)=MONTH(AN11),"",_xlfn.CONCAT("M",MONTH(AO11))),IF(MONTH(AO11)=MONTH(AN11),"",PROPER(TEXT(AO11,"mmm")))))</f>
        <v/>
      </c>
      <c r="AP9" s="38" t="str">
        <f t="shared" ref="AP9" si="79">IF($C$10="Jour",IF(WEEKNUM(AP11,11)=WEEKNUM(AO11,11),"",_xlfn.CONCAT("S",WEEKNUM(AP11,11))),IF($C$11="Non",IF(MONTH(AP11)=MONTH(AO11),"",_xlfn.CONCAT("M",MONTH(AP11))),IF(MONTH(AP11)=MONTH(AO11),"",PROPER(TEXT(AP11,"mmm")))))</f>
        <v/>
      </c>
      <c r="AQ9" s="38" t="str" cm="1">
        <f t="array" ref="AQ9">IF($C$10="Jour",IF(WEEKNUM(AQ11,11)=WEEKNUM(AP11,11),"",_xlfn.CONCAT("S",WEEKNUM(AQ11,11))),IF($C$11="Non",IF(MONTH(AQ11)=MONTH(AP11),"",_xlfn.CONCAT("M",MONTH(AQ11))),IF(MONTH(AQ11)=MONTH(AP11),"",PROPER(TEXT(AQ11,"mmm")))))</f>
        <v>S32</v>
      </c>
      <c r="AR9" s="38" t="str">
        <f t="shared" ref="AR9" si="80">IF($C$10="Jour",IF(WEEKNUM(AR11,11)=WEEKNUM(AQ11,11),"",_xlfn.CONCAT("S",WEEKNUM(AR11,11))),IF($C$11="Non",IF(MONTH(AR11)=MONTH(AQ11),"",_xlfn.CONCAT("M",MONTH(AR11))),IF(MONTH(AR11)=MONTH(AQ11),"",PROPER(TEXT(AR11,"mmm")))))</f>
        <v/>
      </c>
      <c r="AS9" s="38" t="str">
        <f t="shared" ref="AS9" si="81">IF($C$10="Jour",IF(WEEKNUM(AS11,11)=WEEKNUM(AR11,11),"",_xlfn.CONCAT("S",WEEKNUM(AS11,11))),IF($C$11="Non",IF(MONTH(AS11)=MONTH(AR11),"",_xlfn.CONCAT("M",MONTH(AS11))),IF(MONTH(AS11)=MONTH(AR11),"",PROPER(TEXT(AS11,"mmm")))))</f>
        <v/>
      </c>
      <c r="AT9" s="38" t="str">
        <f t="shared" ref="AT9" si="82">IF($C$10="Jour",IF(WEEKNUM(AT11,11)=WEEKNUM(AS11,11),"",_xlfn.CONCAT("S",WEEKNUM(AT11,11))),IF($C$11="Non",IF(MONTH(AT11)=MONTH(AS11),"",_xlfn.CONCAT("M",MONTH(AT11))),IF(MONTH(AT11)=MONTH(AS11),"",PROPER(TEXT(AT11,"mmm")))))</f>
        <v/>
      </c>
      <c r="AU9" s="38" t="str">
        <f t="shared" ref="AU9" si="83">IF($C$10="Jour",IF(WEEKNUM(AU11,11)=WEEKNUM(AT11,11),"",_xlfn.CONCAT("S",WEEKNUM(AU11,11))),IF($C$11="Non",IF(MONTH(AU11)=MONTH(AT11),"",_xlfn.CONCAT("M",MONTH(AU11))),IF(MONTH(AU11)=MONTH(AT11),"",PROPER(TEXT(AU11,"mmm")))))</f>
        <v/>
      </c>
      <c r="AV9" s="38" t="str">
        <f t="shared" ref="AV9" si="84">IF($C$10="Jour",IF(WEEKNUM(AV11,11)=WEEKNUM(AU11,11),"",_xlfn.CONCAT("S",WEEKNUM(AV11,11))),IF($C$11="Non",IF(MONTH(AV11)=MONTH(AU11),"",_xlfn.CONCAT("M",MONTH(AV11))),IF(MONTH(AV11)=MONTH(AU11),"",PROPER(TEXT(AV11,"mmm")))))</f>
        <v/>
      </c>
      <c r="AW9" s="38" t="str">
        <f t="shared" ref="AW9" si="85">IF($C$10="Jour",IF(WEEKNUM(AW11,11)=WEEKNUM(AV11,11),"",_xlfn.CONCAT("S",WEEKNUM(AW11,11))),IF($C$11="Non",IF(MONTH(AW11)=MONTH(AV11),"",_xlfn.CONCAT("M",MONTH(AW11))),IF(MONTH(AW11)=MONTH(AV11),"",PROPER(TEXT(AW11,"mmm")))))</f>
        <v/>
      </c>
      <c r="AX9" s="38" t="str">
        <f t="shared" ref="AX9" si="86">IF($C$10="Jour",IF(WEEKNUM(AX11,11)=WEEKNUM(AW11,11),"",_xlfn.CONCAT("S",WEEKNUM(AX11,11))),IF($C$11="Non",IF(MONTH(AX11)=MONTH(AW11),"",_xlfn.CONCAT("M",MONTH(AX11))),IF(MONTH(AX11)=MONTH(AW11),"",PROPER(TEXT(AX11,"mmm")))))</f>
        <v>S33</v>
      </c>
      <c r="AY9" s="38" t="str">
        <f t="shared" ref="AY9" si="87">IF($C$10="Jour",IF(WEEKNUM(AY11,11)=WEEKNUM(AX11,11),"",_xlfn.CONCAT("S",WEEKNUM(AY11,11))),IF($C$11="Non",IF(MONTH(AY11)=MONTH(AX11),"",_xlfn.CONCAT("M",MONTH(AY11))),IF(MONTH(AY11)=MONTH(AX11),"",PROPER(TEXT(AY11,"mmm")))))</f>
        <v/>
      </c>
      <c r="AZ9" s="38" t="str">
        <f t="shared" ref="AZ9" si="88">IF($C$10="Jour",IF(WEEKNUM(AZ11,11)=WEEKNUM(AY11,11),"",_xlfn.CONCAT("S",WEEKNUM(AZ11,11))),IF($C$11="Non",IF(MONTH(AZ11)=MONTH(AY11),"",_xlfn.CONCAT("M",MONTH(AZ11))),IF(MONTH(AZ11)=MONTH(AY11),"",PROPER(TEXT(AZ11,"mmm")))))</f>
        <v/>
      </c>
      <c r="BA9" s="38" t="str">
        <f t="shared" ref="BA9" si="89">IF($C$10="Jour",IF(WEEKNUM(BA11,11)=WEEKNUM(AZ11,11),"",_xlfn.CONCAT("S",WEEKNUM(BA11,11))),IF($C$11="Non",IF(MONTH(BA11)=MONTH(AZ11),"",_xlfn.CONCAT("M",MONTH(BA11))),IF(MONTH(BA11)=MONTH(AZ11),"",PROPER(TEXT(BA11,"mmm")))))</f>
        <v/>
      </c>
      <c r="BB9" s="38" t="str">
        <f t="shared" ref="BB9" si="90">IF($C$10="Jour",IF(WEEKNUM(BB11,11)=WEEKNUM(BA11,11),"",_xlfn.CONCAT("S",WEEKNUM(BB11,11))),IF($C$11="Non",IF(MONTH(BB11)=MONTH(BA11),"",_xlfn.CONCAT("M",MONTH(BB11))),IF(MONTH(BB11)=MONTH(BA11),"",PROPER(TEXT(BB11,"mmm")))))</f>
        <v/>
      </c>
      <c r="BC9" s="38" t="str">
        <f t="shared" ref="BC9" si="91">IF($C$10="Jour",IF(WEEKNUM(BC11,11)=WEEKNUM(BB11,11),"",_xlfn.CONCAT("S",WEEKNUM(BC11,11))),IF($C$11="Non",IF(MONTH(BC11)=MONTH(BB11),"",_xlfn.CONCAT("M",MONTH(BC11))),IF(MONTH(BC11)=MONTH(BB11),"",PROPER(TEXT(BC11,"mmm")))))</f>
        <v/>
      </c>
      <c r="BD9" s="38" t="str">
        <f t="shared" ref="BD9" si="92">IF($C$10="Jour",IF(WEEKNUM(BD11,11)=WEEKNUM(BC11,11),"",_xlfn.CONCAT("S",WEEKNUM(BD11,11))),IF($C$11="Non",IF(MONTH(BD11)=MONTH(BC11),"",_xlfn.CONCAT("M",MONTH(BD11))),IF(MONTH(BD11)=MONTH(BC11),"",PROPER(TEXT(BD11,"mmm")))))</f>
        <v/>
      </c>
      <c r="BE9" s="38" t="str" cm="1">
        <f t="array" ref="BE9">IF($C$10="Jour",IF(WEEKNUM(BE11,11)=WEEKNUM(BD11,11),"",_xlfn.CONCAT("S",WEEKNUM(BE11,11))),IF($C$11="Non",IF(MONTH(BE11)=MONTH(BD11),"",_xlfn.CONCAT("M",MONTH(BE11))),IF(MONTH(BE11)=MONTH(BD11),"",PROPER(TEXT(BE11,"mmm")))))</f>
        <v>S34</v>
      </c>
      <c r="BF9" s="38" t="str" cm="1">
        <f t="array" ref="BF9">IF($C$10="Jour",IF(WEEKNUM(BF11,11)=WEEKNUM(BE11,11),"",_xlfn.CONCAT("S",WEEKNUM(BF11,11))),IF($C$11="Non",IF(MONTH(BF11)=MONTH(BE11),"",_xlfn.CONCAT("M",MONTH(BF11))),IF(MONTH(BF11)=MONTH(BE11),"",PROPER(TEXT(BF11,"mmm")))))</f>
        <v/>
      </c>
      <c r="BG9" s="38" t="str" cm="1">
        <f t="array" ref="BG9">IF($C$10="Jour",IF(WEEKNUM(BG11,11)=WEEKNUM(BF11,11),"",_xlfn.CONCAT("S",WEEKNUM(BG11,11))),IF($C$11="Non",IF(MONTH(BG11)=MONTH(BF11),"",_xlfn.CONCAT("M",MONTH(BG11))),IF(MONTH(BG11)=MONTH(BF11),"",PROPER(TEXT(BG11,"mmm")))))</f>
        <v/>
      </c>
      <c r="BH9" s="38" t="str" cm="1">
        <f t="array" ref="BH9">IF($C$10="Jour",IF(WEEKNUM(BH11,11)=WEEKNUM(BG11,11),"",_xlfn.CONCAT("S",WEEKNUM(BH11,11))),IF($C$11="Non",IF(MONTH(BH11)=MONTH(BG11),"",_xlfn.CONCAT("M",MONTH(BH11))),IF(MONTH(BH11)=MONTH(BG11),"",PROPER(TEXT(BH11,"mmm")))))</f>
        <v/>
      </c>
      <c r="BI9" s="38" t="str" cm="1">
        <f t="array" ref="BI9">IF($C$10="Jour",IF(WEEKNUM(BI11,11)=WEEKNUM(BH11,11),"",_xlfn.CONCAT("S",WEEKNUM(BI11,11))),IF($C$11="Non",IF(MONTH(BI11)=MONTH(BH11),"",_xlfn.CONCAT("M",MONTH(BI11))),IF(MONTH(BI11)=MONTH(BH11),"",PROPER(TEXT(BI11,"mmm")))))</f>
        <v/>
      </c>
      <c r="BJ9" s="38" t="str" cm="1">
        <f t="array" ref="BJ9">IF($C$10="Jour",IF(WEEKNUM(BJ11,11)=WEEKNUM(BI11,11),"",_xlfn.CONCAT("S",WEEKNUM(BJ11,11))),IF($C$11="Non",IF(MONTH(BJ11)=MONTH(BI11),"",_xlfn.CONCAT("M",MONTH(BJ11))),IF(MONTH(BJ11)=MONTH(BI11),"",PROPER(TEXT(BJ11,"mmm")))))</f>
        <v/>
      </c>
      <c r="BK9" s="38" t="str" cm="1">
        <f t="array" ref="BK9">IF($C$10="Jour",IF(WEEKNUM(BK11,11)=WEEKNUM(BJ11,11),"",_xlfn.CONCAT("S",WEEKNUM(BK11,11))),IF($C$11="Non",IF(MONTH(BK11)=MONTH(BJ11),"",_xlfn.CONCAT("M",MONTH(BK11))),IF(MONTH(BK11)=MONTH(BJ11),"",PROPER(TEXT(BK11,"mmm")))))</f>
        <v/>
      </c>
      <c r="BL9" s="38" t="str" cm="1">
        <f t="array" ref="BL9">IF($C$10="Jour",IF(WEEKNUM(BL11,11)=WEEKNUM(BK11,11),"",_xlfn.CONCAT("S",WEEKNUM(BL11,11))),IF($C$11="Non",IF(MONTH(BL11)=MONTH(BK11),"",_xlfn.CONCAT("M",MONTH(BL11))),IF(MONTH(BL11)=MONTH(BK11),"",PROPER(TEXT(BL11,"mmm")))))</f>
        <v>S35</v>
      </c>
      <c r="BM9" s="38" t="str" cm="1">
        <f t="array" ref="BM9">IF($C$10="Jour",IF(WEEKNUM(BM11,11)=WEEKNUM(BL11,11),"",_xlfn.CONCAT("S",WEEKNUM(BM11,11))),IF($C$11="Non",IF(MONTH(BM11)=MONTH(BL11),"",_xlfn.CONCAT("M",MONTH(BM11))),IF(MONTH(BM11)=MONTH(BL11),"",PROPER(TEXT(BM11,"mmm")))))</f>
        <v/>
      </c>
      <c r="BN9" s="38" t="str" cm="1">
        <f t="array" ref="BN9">IF($C$10="Jour",IF(WEEKNUM(BN11,11)=WEEKNUM(BM11,11),"",_xlfn.CONCAT("S",WEEKNUM(BN11,11))),IF($C$11="Non",IF(MONTH(BN11)=MONTH(BM11),"",_xlfn.CONCAT("M",MONTH(BN11))),IF(MONTH(BN11)=MONTH(BM11),"",PROPER(TEXT(BN11,"mmm")))))</f>
        <v/>
      </c>
      <c r="BO9" s="38" t="str" cm="1">
        <f t="array" ref="BO9">IF($C$10="Jour",IF(WEEKNUM(BO11,11)=WEEKNUM(BN11,11),"",_xlfn.CONCAT("S",WEEKNUM(BO11,11))),IF($C$11="Non",IF(MONTH(BO11)=MONTH(BN11),"",_xlfn.CONCAT("M",MONTH(BO11))),IF(MONTH(BO11)=MONTH(BN11),"",PROPER(TEXT(BO11,"mmm")))))</f>
        <v/>
      </c>
      <c r="BP9" s="38" t="str" cm="1">
        <f t="array" ref="BP9">IF($C$10="Jour",IF(WEEKNUM(BP11,11)=WEEKNUM(BO11,11),"",_xlfn.CONCAT("S",WEEKNUM(BP11,11))),IF($C$11="Non",IF(MONTH(BP11)=MONTH(BO11),"",_xlfn.CONCAT("M",MONTH(BP11))),IF(MONTH(BP11)=MONTH(BO11),"",PROPER(TEXT(BP11,"mmm")))))</f>
        <v/>
      </c>
      <c r="BQ9" s="38" t="str" cm="1">
        <f t="array" ref="BQ9">IF($C$10="Jour",IF(WEEKNUM(BQ11,11)=WEEKNUM(BP11,11),"",_xlfn.CONCAT("S",WEEKNUM(BQ11,11))),IF($C$11="Non",IF(MONTH(BQ11)=MONTH(BP11),"",_xlfn.CONCAT("M",MONTH(BQ11))),IF(MONTH(BQ11)=MONTH(BP11),"",PROPER(TEXT(BQ11,"mmm")))))</f>
        <v/>
      </c>
      <c r="BR9" s="38" t="str" cm="1">
        <f t="array" ref="BR9">IF($C$10="Jour",IF(WEEKNUM(BR11,11)=WEEKNUM(BQ11,11),"",_xlfn.CONCAT("S",WEEKNUM(BR11,11))),IF($C$11="Non",IF(MONTH(BR11)=MONTH(BQ11),"",_xlfn.CONCAT("M",MONTH(BR11))),IF(MONTH(BR11)=MONTH(BQ11),"",PROPER(TEXT(BR11,"mmm")))))</f>
        <v/>
      </c>
      <c r="BS9" s="38" t="str" cm="1">
        <f t="array" ref="BS9">IF($C$10="Jour",IF(WEEKNUM(BS11,11)=WEEKNUM(BR11,11),"",_xlfn.CONCAT("S",WEEKNUM(BS11,11))),IF($C$11="Non",IF(MONTH(BS11)=MONTH(BR11),"",_xlfn.CONCAT("M",MONTH(BS11))),IF(MONTH(BS11)=MONTH(BR11),"",PROPER(TEXT(BS11,"mmm")))))</f>
        <v>S36</v>
      </c>
      <c r="BT9" s="38" t="str" cm="1">
        <f t="array" ref="BT9">IF($C$10="Jour",IF(WEEKNUM(BT11,11)=WEEKNUM(BS11,11),"",_xlfn.CONCAT("S",WEEKNUM(BT11,11))),IF($C$11="Non",IF(MONTH(BT11)=MONTH(BS11),"",_xlfn.CONCAT("M",MONTH(BT11))),IF(MONTH(BT11)=MONTH(BS11),"",PROPER(TEXT(BT11,"mmm")))))</f>
        <v/>
      </c>
      <c r="BU9" s="38" t="str" cm="1">
        <f t="array" ref="BU9">IF($C$10="Jour",IF(WEEKNUM(BU11,11)=WEEKNUM(BT11,11),"",_xlfn.CONCAT("S",WEEKNUM(BU11,11))),IF($C$11="Non",IF(MONTH(BU11)=MONTH(BT11),"",_xlfn.CONCAT("M",MONTH(BU11))),IF(MONTH(BU11)=MONTH(BT11),"",PROPER(TEXT(BU11,"mmm")))))</f>
        <v/>
      </c>
      <c r="BV9" s="38" t="str" cm="1">
        <f t="array" ref="BV9">IF($C$10="Jour",IF(WEEKNUM(BV11,11)=WEEKNUM(BU11,11),"",_xlfn.CONCAT("S",WEEKNUM(BV11,11))),IF($C$11="Non",IF(MONTH(BV11)=MONTH(BU11),"",_xlfn.CONCAT("M",MONTH(BV11))),IF(MONTH(BV11)=MONTH(BU11),"",PROPER(TEXT(BV11,"mmm")))))</f>
        <v/>
      </c>
      <c r="BW9" s="38" t="str" cm="1">
        <f t="array" ref="BW9">IF($C$10="Jour",IF(WEEKNUM(BW11,11)=WEEKNUM(BV11,11),"",_xlfn.CONCAT("S",WEEKNUM(BW11,11))),IF($C$11="Non",IF(MONTH(BW11)=MONTH(BV11),"",_xlfn.CONCAT("M",MONTH(BW11))),IF(MONTH(BW11)=MONTH(BV11),"",PROPER(TEXT(BW11,"mmm")))))</f>
        <v/>
      </c>
      <c r="BX9" s="38" t="str" cm="1">
        <f t="array" ref="BX9">IF($C$10="Jour",IF(WEEKNUM(BX11,11)=WEEKNUM(BW11,11),"",_xlfn.CONCAT("S",WEEKNUM(BX11,11))),IF($C$11="Non",IF(MONTH(BX11)=MONTH(BW11),"",_xlfn.CONCAT("M",MONTH(BX11))),IF(MONTH(BX11)=MONTH(BW11),"",PROPER(TEXT(BX11,"mmm")))))</f>
        <v/>
      </c>
      <c r="BY9" s="38" t="str" cm="1">
        <f t="array" ref="BY9">IF($C$10="Jour",IF(WEEKNUM(BY11,11)=WEEKNUM(BX11,11),"",_xlfn.CONCAT("S",WEEKNUM(BY11,11))),IF($C$11="Non",IF(MONTH(BY11)=MONTH(BX11),"",_xlfn.CONCAT("M",MONTH(BY11))),IF(MONTH(BY11)=MONTH(BX11),"",PROPER(TEXT(BY11,"mmm")))))</f>
        <v/>
      </c>
      <c r="BZ9" s="38" t="str" cm="1">
        <f t="array" ref="BZ9">IF($C$10="Jour",IF(WEEKNUM(BZ11,11)=WEEKNUM(BY11,11),"",_xlfn.CONCAT("S",WEEKNUM(BZ11,11))),IF($C$11="Non",IF(MONTH(BZ11)=MONTH(BY11),"",_xlfn.CONCAT("M",MONTH(BZ11))),IF(MONTH(BZ11)=MONTH(BY11),"",PROPER(TEXT(BZ11,"mmm")))))</f>
        <v>S37</v>
      </c>
      <c r="CA9" s="38" t="str" cm="1">
        <f t="array" ref="CA9">IF($C$10="Jour",IF(WEEKNUM(CA11,11)=WEEKNUM(BZ11,11),"",_xlfn.CONCAT("S",WEEKNUM(CA11,11))),IF($C$11="Non",IF(MONTH(CA11)=MONTH(BZ11),"",_xlfn.CONCAT("M",MONTH(CA11))),IF(MONTH(CA11)=MONTH(BZ11),"",PROPER(TEXT(CA11,"mmm")))))</f>
        <v/>
      </c>
      <c r="CB9" s="38" t="str" cm="1">
        <f t="array" ref="CB9">IF($C$10="Jour",IF(WEEKNUM(CB11,11)=WEEKNUM(CA11,11),"",_xlfn.CONCAT("S",WEEKNUM(CB11,11))),IF($C$11="Non",IF(MONTH(CB11)=MONTH(CA11),"",_xlfn.CONCAT("M",MONTH(CB11))),IF(MONTH(CB11)=MONTH(CA11),"",PROPER(TEXT(CB11,"mmm")))))</f>
        <v/>
      </c>
      <c r="CC9" s="38" t="str" cm="1">
        <f t="array" ref="CC9">IF($C$10="Jour",IF(WEEKNUM(CC11,11)=WEEKNUM(CB11,11),"",_xlfn.CONCAT("S",WEEKNUM(CC11,11))),IF($C$11="Non",IF(MONTH(CC11)=MONTH(CB11),"",_xlfn.CONCAT("M",MONTH(CC11))),IF(MONTH(CC11)=MONTH(CB11),"",PROPER(TEXT(CC11,"mmm")))))</f>
        <v/>
      </c>
      <c r="CD9" s="38" t="str" cm="1">
        <f t="array" ref="CD9">IF($C$10="Jour",IF(WEEKNUM(CD11,11)=WEEKNUM(CC11,11),"",_xlfn.CONCAT("S",WEEKNUM(CD11,11))),IF($C$11="Non",IF(MONTH(CD11)=MONTH(CC11),"",_xlfn.CONCAT("M",MONTH(CD11))),IF(MONTH(CD11)=MONTH(CC11),"",PROPER(TEXT(CD11,"mmm")))))</f>
        <v/>
      </c>
      <c r="CE9" s="38" t="str" cm="1">
        <f t="array" ref="CE9">IF($C$10="Jour",IF(WEEKNUM(CE11,11)=WEEKNUM(CD11,11),"",_xlfn.CONCAT("S",WEEKNUM(CE11,11))),IF($C$11="Non",IF(MONTH(CE11)=MONTH(CD11),"",_xlfn.CONCAT("M",MONTH(CE11))),IF(MONTH(CE11)=MONTH(CD11),"",PROPER(TEXT(CE11,"mmm")))))</f>
        <v/>
      </c>
      <c r="CF9" s="38" t="str" cm="1">
        <f t="array" ref="CF9">IF($C$10="Jour",IF(WEEKNUM(CF11,11)=WEEKNUM(CE11,11),"",_xlfn.CONCAT("S",WEEKNUM(CF11,11))),IF($C$11="Non",IF(MONTH(CF11)=MONTH(CE11),"",_xlfn.CONCAT("M",MONTH(CF11))),IF(MONTH(CF11)=MONTH(CE11),"",PROPER(TEXT(CF11,"mmm")))))</f>
        <v/>
      </c>
      <c r="CG9" s="38" t="str" cm="1">
        <f t="array" ref="CG9">IF($C$10="Jour",IF(WEEKNUM(CG11,11)=WEEKNUM(CF11,11),"",_xlfn.CONCAT("S",WEEKNUM(CG11,11))),IF($C$11="Non",IF(MONTH(CG11)=MONTH(CF11),"",_xlfn.CONCAT("M",MONTH(CG11))),IF(MONTH(CG11)=MONTH(CF11),"",PROPER(TEXT(CG11,"mmm")))))</f>
        <v>S38</v>
      </c>
      <c r="CH9" s="38" t="str" cm="1">
        <f t="array" ref="CH9">IF($C$10="Jour",IF(WEEKNUM(CH11,11)=WEEKNUM(CG11,11),"",_xlfn.CONCAT("S",WEEKNUM(CH11,11))),IF($C$11="Non",IF(MONTH(CH11)=MONTH(CG11),"",_xlfn.CONCAT("M",MONTH(CH11))),IF(MONTH(CH11)=MONTH(CG11),"",PROPER(TEXT(CH11,"mmm")))))</f>
        <v/>
      </c>
      <c r="CI9" s="38" t="str" cm="1">
        <f t="array" ref="CI9">IF($C$10="Jour",IF(WEEKNUM(CI11,11)=WEEKNUM(CH11,11),"",_xlfn.CONCAT("S",WEEKNUM(CI11,11))),IF($C$11="Non",IF(MONTH(CI11)=MONTH(CH11),"",_xlfn.CONCAT("M",MONTH(CI11))),IF(MONTH(CI11)=MONTH(CH11),"",PROPER(TEXT(CI11,"mmm")))))</f>
        <v/>
      </c>
      <c r="CJ9" s="38" t="str" cm="1">
        <f t="array" ref="CJ9">IF($C$10="Jour",IF(WEEKNUM(CJ11,11)=WEEKNUM(CI11,11),"",_xlfn.CONCAT("S",WEEKNUM(CJ11,11))),IF($C$11="Non",IF(MONTH(CJ11)=MONTH(CI11),"",_xlfn.CONCAT("M",MONTH(CJ11))),IF(MONTH(CJ11)=MONTH(CI11),"",PROPER(TEXT(CJ11,"mmm")))))</f>
        <v/>
      </c>
      <c r="CK9" s="38" t="str" cm="1">
        <f t="array" ref="CK9">IF($C$10="Jour",IF(WEEKNUM(CK11,11)=WEEKNUM(CJ11,11),"",_xlfn.CONCAT("S",WEEKNUM(CK11,11))),IF($C$11="Non",IF(MONTH(CK11)=MONTH(CJ11),"",_xlfn.CONCAT("M",MONTH(CK11))),IF(MONTH(CK11)=MONTH(CJ11),"",PROPER(TEXT(CK11,"mmm")))))</f>
        <v/>
      </c>
      <c r="CL9" s="38" t="str" cm="1">
        <f t="array" ref="CL9">IF($C$10="Jour",IF(WEEKNUM(CL11,11)=WEEKNUM(CK11,11),"",_xlfn.CONCAT("S",WEEKNUM(CL11,11))),IF($C$11="Non",IF(MONTH(CL11)=MONTH(CK11),"",_xlfn.CONCAT("M",MONTH(CL11))),IF(MONTH(CL11)=MONTH(CK11),"",PROPER(TEXT(CL11,"mmm")))))</f>
        <v/>
      </c>
      <c r="CM9" s="38" t="str" cm="1">
        <f t="array" ref="CM9">IF($C$10="Jour",IF(WEEKNUM(CM11,11)=WEEKNUM(CL11,11),"",_xlfn.CONCAT("S",WEEKNUM(CM11,11))),IF($C$11="Non",IF(MONTH(CM11)=MONTH(CL11),"",_xlfn.CONCAT("M",MONTH(CM11))),IF(MONTH(CM11)=MONTH(CL11),"",PROPER(TEXT(CM11,"mmm")))))</f>
        <v/>
      </c>
      <c r="CN9" s="38" t="str" cm="1">
        <f t="array" ref="CN9">IF($C$10="Jour",IF(WEEKNUM(CN11,11)=WEEKNUM(CM11,11),"",_xlfn.CONCAT("S",WEEKNUM(CN11,11))),IF($C$11="Non",IF(MONTH(CN11)=MONTH(CM11),"",_xlfn.CONCAT("M",MONTH(CN11))),IF(MONTH(CN11)=MONTH(CM11),"",PROPER(TEXT(CN11,"mmm")))))</f>
        <v>S39</v>
      </c>
      <c r="CO9" s="38" t="str" cm="1">
        <f t="array" ref="CO9">IF($C$10="Jour",IF(WEEKNUM(CO11,11)=WEEKNUM(CN11,11),"",_xlfn.CONCAT("S",WEEKNUM(CO11,11))),IF($C$11="Non",IF(MONTH(CO11)=MONTH(CN11),"",_xlfn.CONCAT("M",MONTH(CO11))),IF(MONTH(CO11)=MONTH(CN11),"",PROPER(TEXT(CO11,"mmm")))))</f>
        <v/>
      </c>
      <c r="CP9" s="38" t="str" cm="1">
        <f t="array" ref="CP9">IF($C$10="Jour",IF(WEEKNUM(CP11,11)=WEEKNUM(CO11,11),"",_xlfn.CONCAT("S",WEEKNUM(CP11,11))),IF($C$11="Non",IF(MONTH(CP11)=MONTH(CO11),"",_xlfn.CONCAT("M",MONTH(CP11))),IF(MONTH(CP11)=MONTH(CO11),"",PROPER(TEXT(CP11,"mmm")))))</f>
        <v/>
      </c>
      <c r="CQ9" s="38" t="str" cm="1">
        <f t="array" ref="CQ9">IF($C$10="Jour",IF(WEEKNUM(CQ11,11)=WEEKNUM(CP11,11),"",_xlfn.CONCAT("S",WEEKNUM(CQ11,11))),IF($C$11="Non",IF(MONTH(CQ11)=MONTH(CP11),"",_xlfn.CONCAT("M",MONTH(CQ11))),IF(MONTH(CQ11)=MONTH(CP11),"",PROPER(TEXT(CQ11,"mmm")))))</f>
        <v/>
      </c>
      <c r="CR9" s="38" t="str" cm="1">
        <f t="array" ref="CR9">IF($C$10="Jour",IF(WEEKNUM(CR11,11)=WEEKNUM(CQ11,11),"",_xlfn.CONCAT("S",WEEKNUM(CR11,11))),IF($C$11="Non",IF(MONTH(CR11)=MONTH(CQ11),"",_xlfn.CONCAT("M",MONTH(CR11))),IF(MONTH(CR11)=MONTH(CQ11),"",PROPER(TEXT(CR11,"mmm")))))</f>
        <v/>
      </c>
      <c r="CS9" s="38" t="str" cm="1">
        <f t="array" ref="CS9">IF($C$10="Jour",IF(WEEKNUM(CS11,11)=WEEKNUM(CR11,11),"",_xlfn.CONCAT("S",WEEKNUM(CS11,11))),IF($C$11="Non",IF(MONTH(CS11)=MONTH(CR11),"",_xlfn.CONCAT("M",MONTH(CS11))),IF(MONTH(CS11)=MONTH(CR11),"",PROPER(TEXT(CS11,"mmm")))))</f>
        <v/>
      </c>
      <c r="CT9" s="38" t="str" cm="1">
        <f t="array" ref="CT9">IF($C$10="Jour",IF(WEEKNUM(CT11,11)=WEEKNUM(CS11,11),"",_xlfn.CONCAT("S",WEEKNUM(CT11,11))),IF($C$11="Non",IF(MONTH(CT11)=MONTH(CS11),"",_xlfn.CONCAT("M",MONTH(CT11))),IF(MONTH(CT11)=MONTH(CS11),"",PROPER(TEXT(CT11,"mmm")))))</f>
        <v/>
      </c>
      <c r="CU9" s="38" t="str" cm="1">
        <f t="array" ref="CU9">IF($C$10="Jour",IF(WEEKNUM(CU11,11)=WEEKNUM(CT11,11),"",_xlfn.CONCAT("S",WEEKNUM(CU11,11))),IF($C$11="Non",IF(MONTH(CU11)=MONTH(CT11),"",_xlfn.CONCAT("M",MONTH(CU11))),IF(MONTH(CU11)=MONTH(CT11),"",PROPER(TEXT(CU11,"mmm")))))</f>
        <v>S40</v>
      </c>
      <c r="CV9" s="38" t="str" cm="1">
        <f t="array" ref="CV9">IF($C$10="Jour",IF(WEEKNUM(CV11,11)=WEEKNUM(CU11,11),"",_xlfn.CONCAT("S",WEEKNUM(CV11,11))),IF($C$11="Non",IF(MONTH(CV11)=MONTH(CU11),"",_xlfn.CONCAT("M",MONTH(CV11))),IF(MONTH(CV11)=MONTH(CU11),"",PROPER(TEXT(CV11,"mmm")))))</f>
        <v/>
      </c>
      <c r="CW9" s="38" t="str" cm="1">
        <f t="array" ref="CW9">IF($C$10="Jour",IF(WEEKNUM(CW11,11)=WEEKNUM(CV11,11),"",_xlfn.CONCAT("S",WEEKNUM(CW11,11))),IF($C$11="Non",IF(MONTH(CW11)=MONTH(CV11),"",_xlfn.CONCAT("M",MONTH(CW11))),IF(MONTH(CW11)=MONTH(CV11),"",PROPER(TEXT(CW11,"mmm")))))</f>
        <v/>
      </c>
      <c r="CX9" s="38" t="str" cm="1">
        <f t="array" ref="CX9">IF($C$10="Jour",IF(WEEKNUM(CX11,11)=WEEKNUM(CW11,11),"",_xlfn.CONCAT("S",WEEKNUM(CX11,11))),IF($C$11="Non",IF(MONTH(CX11)=MONTH(CW11),"",_xlfn.CONCAT("M",MONTH(CX11))),IF(MONTH(CX11)=MONTH(CW11),"",PROPER(TEXT(CX11,"mmm")))))</f>
        <v/>
      </c>
      <c r="CY9" s="38" t="str" cm="1">
        <f t="array" ref="CY9">IF($C$10="Jour",IF(WEEKNUM(CY11,11)=WEEKNUM(CX11,11),"",_xlfn.CONCAT("S",WEEKNUM(CY11,11))),IF($C$11="Non",IF(MONTH(CY11)=MONTH(CX11),"",_xlfn.CONCAT("M",MONTH(CY11))),IF(MONTH(CY11)=MONTH(CX11),"",PROPER(TEXT(CY11,"mmm")))))</f>
        <v/>
      </c>
      <c r="CZ9" s="38" t="str" cm="1">
        <f t="array" ref="CZ9">IF($C$10="Jour",IF(WEEKNUM(CZ11,11)=WEEKNUM(CY11,11),"",_xlfn.CONCAT("S",WEEKNUM(CZ11,11))),IF($C$11="Non",IF(MONTH(CZ11)=MONTH(CY11),"",_xlfn.CONCAT("M",MONTH(CZ11))),IF(MONTH(CZ11)=MONTH(CY11),"",PROPER(TEXT(CZ11,"mmm")))))</f>
        <v/>
      </c>
      <c r="DA9" s="38" t="str" cm="1">
        <f t="array" ref="DA9">IF($C$10="Jour",IF(WEEKNUM(DA11,11)=WEEKNUM(CZ11,11),"",_xlfn.CONCAT("S",WEEKNUM(DA11,11))),IF($C$11="Non",IF(MONTH(DA11)=MONTH(CZ11),"",_xlfn.CONCAT("M",MONTH(DA11))),IF(MONTH(DA11)=MONTH(CZ11),"",PROPER(TEXT(DA11,"mmm")))))</f>
        <v/>
      </c>
      <c r="DB9" s="38" t="str" cm="1">
        <f t="array" ref="DB9">IF($C$10="Jour",IF(WEEKNUM(DB11,11)=WEEKNUM(DA11,11),"",_xlfn.CONCAT("S",WEEKNUM(DB11,11))),IF($C$11="Non",IF(MONTH(DB11)=MONTH(DA11),"",_xlfn.CONCAT("M",MONTH(DB11))),IF(MONTH(DB11)=MONTH(DA11),"",PROPER(TEXT(DB11,"mmm")))))</f>
        <v>S41</v>
      </c>
      <c r="DC9" s="38" t="str" cm="1">
        <f t="array" ref="DC9">IF($C$10="Jour",IF(WEEKNUM(DC11,11)=WEEKNUM(DB11,11),"",_xlfn.CONCAT("S",WEEKNUM(DC11,11))),IF($C$11="Non",IF(MONTH(DC11)=MONTH(DB11),"",_xlfn.CONCAT("M",MONTH(DC11))),IF(MONTH(DC11)=MONTH(DB11),"",PROPER(TEXT(DC11,"mmm")))))</f>
        <v/>
      </c>
      <c r="DD9" s="38" t="str" cm="1">
        <f t="array" ref="DD9">IF($C$10="Jour",IF(WEEKNUM(DD11,11)=WEEKNUM(DC11,11),"",_xlfn.CONCAT("S",WEEKNUM(DD11,11))),IF($C$11="Non",IF(MONTH(DD11)=MONTH(DC11),"",_xlfn.CONCAT("M",MONTH(DD11))),IF(MONTH(DD11)=MONTH(DC11),"",PROPER(TEXT(DD11,"mmm")))))</f>
        <v/>
      </c>
      <c r="DE9" s="38" t="str" cm="1">
        <f t="array" ref="DE9">IF($C$10="Jour",IF(WEEKNUM(DE11,11)=WEEKNUM(DD11,11),"",_xlfn.CONCAT("S",WEEKNUM(DE11,11))),IF($C$11="Non",IF(MONTH(DE11)=MONTH(DD11),"",_xlfn.CONCAT("M",MONTH(DE11))),IF(MONTH(DE11)=MONTH(DD11),"",PROPER(TEXT(DE11,"mmm")))))</f>
        <v/>
      </c>
      <c r="DF9" s="38" t="str" cm="1">
        <f t="array" ref="DF9">IF($C$10="Jour",IF(WEEKNUM(DF11,11)=WEEKNUM(DE11,11),"",_xlfn.CONCAT("S",WEEKNUM(DF11,11))),IF($C$11="Non",IF(MONTH(DF11)=MONTH(DE11),"",_xlfn.CONCAT("M",MONTH(DF11))),IF(MONTH(DF11)=MONTH(DE11),"",PROPER(TEXT(DF11,"mmm")))))</f>
        <v/>
      </c>
      <c r="DG9" s="38" t="str" cm="1">
        <f t="array" ref="DG9">IF($C$10="Jour",IF(WEEKNUM(DG11,11)=WEEKNUM(DF11,11),"",_xlfn.CONCAT("S",WEEKNUM(DG11,11))),IF($C$11="Non",IF(MONTH(DG11)=MONTH(DF11),"",_xlfn.CONCAT("M",MONTH(DG11))),IF(MONTH(DG11)=MONTH(DF11),"",PROPER(TEXT(DG11,"mmm")))))</f>
        <v/>
      </c>
      <c r="DH9" s="38" t="str" cm="1">
        <f t="array" ref="DH9">IF($C$10="Jour",IF(WEEKNUM(DH11,11)=WEEKNUM(DG11,11),"",_xlfn.CONCAT("S",WEEKNUM(DH11,11))),IF($C$11="Non",IF(MONTH(DH11)=MONTH(DG11),"",_xlfn.CONCAT("M",MONTH(DH11))),IF(MONTH(DH11)=MONTH(DG11),"",PROPER(TEXT(DH11,"mmm")))))</f>
        <v/>
      </c>
    </row>
    <row r="10" spans="2:112" ht="11.95" customHeight="1" x14ac:dyDescent="0.3">
      <c r="B10" s="11" t="s">
        <v>41</v>
      </c>
      <c r="C10" s="12" t="s">
        <v>42</v>
      </c>
      <c r="D10" s="3"/>
      <c r="E10" s="3"/>
      <c r="H10" s="37" t="str">
        <f t="shared" ref="H10:BS10" si="93">IF($C$10="Jour",PROPER(LEFT(TEXT(H11,"jjj"),1)),_xlfn.CONCAT("S",WEEKNUM(H11,21)))</f>
        <v>L</v>
      </c>
      <c r="I10" s="37" t="str">
        <f t="shared" si="93"/>
        <v>M</v>
      </c>
      <c r="J10" s="37" t="str">
        <f t="shared" si="93"/>
        <v>M</v>
      </c>
      <c r="K10" s="37" t="str">
        <f t="shared" si="93"/>
        <v>J</v>
      </c>
      <c r="L10" s="37" t="str">
        <f t="shared" si="93"/>
        <v>V</v>
      </c>
      <c r="M10" s="37" t="str">
        <f t="shared" si="93"/>
        <v>S</v>
      </c>
      <c r="N10" s="37" t="str">
        <f t="shared" si="93"/>
        <v>D</v>
      </c>
      <c r="O10" s="37" t="str">
        <f t="shared" si="93"/>
        <v>L</v>
      </c>
      <c r="P10" s="37" t="str">
        <f t="shared" si="93"/>
        <v>M</v>
      </c>
      <c r="Q10" s="37" t="str">
        <f t="shared" si="93"/>
        <v>M</v>
      </c>
      <c r="R10" s="37" t="str">
        <f t="shared" si="93"/>
        <v>J</v>
      </c>
      <c r="S10" s="37" t="str">
        <f t="shared" si="93"/>
        <v>V</v>
      </c>
      <c r="T10" s="37" t="str">
        <f t="shared" si="93"/>
        <v>S</v>
      </c>
      <c r="U10" s="37" t="str">
        <f t="shared" si="93"/>
        <v>D</v>
      </c>
      <c r="V10" s="37" t="str">
        <f t="shared" si="93"/>
        <v>L</v>
      </c>
      <c r="W10" s="37" t="str">
        <f t="shared" si="93"/>
        <v>M</v>
      </c>
      <c r="X10" s="37" t="str">
        <f t="shared" si="93"/>
        <v>M</v>
      </c>
      <c r="Y10" s="37" t="str">
        <f t="shared" si="93"/>
        <v>J</v>
      </c>
      <c r="Z10" s="37" t="str">
        <f t="shared" si="93"/>
        <v>V</v>
      </c>
      <c r="AA10" s="37" t="str">
        <f t="shared" si="93"/>
        <v>S</v>
      </c>
      <c r="AB10" s="37" t="str">
        <f t="shared" si="93"/>
        <v>D</v>
      </c>
      <c r="AC10" s="37" t="str">
        <f t="shared" si="93"/>
        <v>L</v>
      </c>
      <c r="AD10" s="37" t="str">
        <f t="shared" si="93"/>
        <v>M</v>
      </c>
      <c r="AE10" s="37" t="str">
        <f t="shared" si="93"/>
        <v>M</v>
      </c>
      <c r="AF10" s="37" t="str">
        <f t="shared" si="93"/>
        <v>J</v>
      </c>
      <c r="AG10" s="37" t="str">
        <f t="shared" si="93"/>
        <v>V</v>
      </c>
      <c r="AH10" s="37" t="str">
        <f t="shared" si="93"/>
        <v>S</v>
      </c>
      <c r="AI10" s="37" t="str">
        <f t="shared" si="93"/>
        <v>D</v>
      </c>
      <c r="AJ10" s="37" t="str">
        <f t="shared" si="93"/>
        <v>L</v>
      </c>
      <c r="AK10" s="37" t="str">
        <f t="shared" si="93"/>
        <v>M</v>
      </c>
      <c r="AL10" s="37" t="str">
        <f t="shared" si="93"/>
        <v>M</v>
      </c>
      <c r="AM10" s="37" t="str">
        <f t="shared" si="93"/>
        <v>J</v>
      </c>
      <c r="AN10" s="37" t="str">
        <f t="shared" si="93"/>
        <v>V</v>
      </c>
      <c r="AO10" s="37" t="str">
        <f t="shared" si="93"/>
        <v>S</v>
      </c>
      <c r="AP10" s="37" t="str">
        <f t="shared" si="93"/>
        <v>D</v>
      </c>
      <c r="AQ10" s="37" t="str">
        <f t="shared" si="93"/>
        <v>L</v>
      </c>
      <c r="AR10" s="37" t="str">
        <f t="shared" si="93"/>
        <v>M</v>
      </c>
      <c r="AS10" s="37" t="str">
        <f t="shared" si="93"/>
        <v>M</v>
      </c>
      <c r="AT10" s="37" t="str">
        <f t="shared" si="93"/>
        <v>J</v>
      </c>
      <c r="AU10" s="37" t="str">
        <f t="shared" si="93"/>
        <v>V</v>
      </c>
      <c r="AV10" s="37" t="str">
        <f t="shared" si="93"/>
        <v>S</v>
      </c>
      <c r="AW10" s="37" t="str">
        <f t="shared" si="93"/>
        <v>D</v>
      </c>
      <c r="AX10" s="37" t="str">
        <f t="shared" si="93"/>
        <v>L</v>
      </c>
      <c r="AY10" s="37" t="str">
        <f t="shared" si="93"/>
        <v>M</v>
      </c>
      <c r="AZ10" s="37" t="str">
        <f t="shared" si="93"/>
        <v>M</v>
      </c>
      <c r="BA10" s="37" t="str">
        <f t="shared" si="93"/>
        <v>J</v>
      </c>
      <c r="BB10" s="37" t="str">
        <f t="shared" si="93"/>
        <v>V</v>
      </c>
      <c r="BC10" s="37" t="str">
        <f t="shared" si="93"/>
        <v>S</v>
      </c>
      <c r="BD10" s="37" t="str">
        <f t="shared" si="93"/>
        <v>D</v>
      </c>
      <c r="BE10" s="37" t="str">
        <f t="shared" si="93"/>
        <v>L</v>
      </c>
      <c r="BF10" s="37" t="str">
        <f t="shared" si="93"/>
        <v>M</v>
      </c>
      <c r="BG10" s="37" t="str">
        <f t="shared" si="93"/>
        <v>M</v>
      </c>
      <c r="BH10" s="37" t="str">
        <f t="shared" si="93"/>
        <v>J</v>
      </c>
      <c r="BI10" s="37" t="str">
        <f t="shared" si="93"/>
        <v>V</v>
      </c>
      <c r="BJ10" s="37" t="str">
        <f t="shared" si="93"/>
        <v>S</v>
      </c>
      <c r="BK10" s="37" t="str">
        <f t="shared" si="93"/>
        <v>D</v>
      </c>
      <c r="BL10" s="37" t="str">
        <f t="shared" si="93"/>
        <v>L</v>
      </c>
      <c r="BM10" s="37" t="str">
        <f t="shared" si="93"/>
        <v>M</v>
      </c>
      <c r="BN10" s="37" t="str">
        <f t="shared" si="93"/>
        <v>M</v>
      </c>
      <c r="BO10" s="37" t="str">
        <f t="shared" si="93"/>
        <v>J</v>
      </c>
      <c r="BP10" s="37" t="str">
        <f t="shared" si="93"/>
        <v>V</v>
      </c>
      <c r="BQ10" s="37" t="str">
        <f t="shared" si="93"/>
        <v>S</v>
      </c>
      <c r="BR10" s="37" t="str">
        <f t="shared" si="93"/>
        <v>D</v>
      </c>
      <c r="BS10" s="37" t="str">
        <f t="shared" si="93"/>
        <v>L</v>
      </c>
      <c r="BT10" s="37" t="str">
        <f t="shared" ref="BT10:DH10" si="94">IF($C$10="Jour",PROPER(LEFT(TEXT(BT11,"jjj"),1)),_xlfn.CONCAT("S",WEEKNUM(BT11,21)))</f>
        <v>M</v>
      </c>
      <c r="BU10" s="37" t="str">
        <f t="shared" si="94"/>
        <v>M</v>
      </c>
      <c r="BV10" s="37" t="str">
        <f t="shared" si="94"/>
        <v>J</v>
      </c>
      <c r="BW10" s="37" t="str">
        <f t="shared" si="94"/>
        <v>V</v>
      </c>
      <c r="BX10" s="37" t="str">
        <f t="shared" si="94"/>
        <v>S</v>
      </c>
      <c r="BY10" s="37" t="str">
        <f t="shared" si="94"/>
        <v>D</v>
      </c>
      <c r="BZ10" s="37" t="str">
        <f t="shared" si="94"/>
        <v>L</v>
      </c>
      <c r="CA10" s="37" t="str">
        <f t="shared" si="94"/>
        <v>M</v>
      </c>
      <c r="CB10" s="37" t="str">
        <f t="shared" si="94"/>
        <v>M</v>
      </c>
      <c r="CC10" s="37" t="str">
        <f t="shared" si="94"/>
        <v>J</v>
      </c>
      <c r="CD10" s="37" t="str">
        <f t="shared" si="94"/>
        <v>V</v>
      </c>
      <c r="CE10" s="37" t="str">
        <f t="shared" si="94"/>
        <v>S</v>
      </c>
      <c r="CF10" s="37" t="str">
        <f t="shared" si="94"/>
        <v>D</v>
      </c>
      <c r="CG10" s="37" t="str">
        <f t="shared" si="94"/>
        <v>L</v>
      </c>
      <c r="CH10" s="37" t="str">
        <f t="shared" si="94"/>
        <v>M</v>
      </c>
      <c r="CI10" s="37" t="str">
        <f t="shared" si="94"/>
        <v>M</v>
      </c>
      <c r="CJ10" s="37" t="str">
        <f t="shared" si="94"/>
        <v>J</v>
      </c>
      <c r="CK10" s="37" t="str">
        <f t="shared" si="94"/>
        <v>V</v>
      </c>
      <c r="CL10" s="37" t="str">
        <f t="shared" si="94"/>
        <v>S</v>
      </c>
      <c r="CM10" s="37" t="str">
        <f t="shared" si="94"/>
        <v>D</v>
      </c>
      <c r="CN10" s="37" t="str">
        <f t="shared" si="94"/>
        <v>L</v>
      </c>
      <c r="CO10" s="37" t="str">
        <f t="shared" si="94"/>
        <v>M</v>
      </c>
      <c r="CP10" s="37" t="str">
        <f t="shared" si="94"/>
        <v>M</v>
      </c>
      <c r="CQ10" s="37" t="str">
        <f t="shared" si="94"/>
        <v>J</v>
      </c>
      <c r="CR10" s="37" t="str">
        <f t="shared" si="94"/>
        <v>V</v>
      </c>
      <c r="CS10" s="37" t="str">
        <f t="shared" si="94"/>
        <v>S</v>
      </c>
      <c r="CT10" s="37" t="str">
        <f t="shared" si="94"/>
        <v>D</v>
      </c>
      <c r="CU10" s="37" t="str">
        <f t="shared" si="94"/>
        <v>L</v>
      </c>
      <c r="CV10" s="37" t="str">
        <f t="shared" si="94"/>
        <v>M</v>
      </c>
      <c r="CW10" s="37" t="str">
        <f t="shared" si="94"/>
        <v>M</v>
      </c>
      <c r="CX10" s="37" t="str">
        <f t="shared" si="94"/>
        <v>J</v>
      </c>
      <c r="CY10" s="37" t="str">
        <f t="shared" si="94"/>
        <v>V</v>
      </c>
      <c r="CZ10" s="37" t="str">
        <f t="shared" si="94"/>
        <v>S</v>
      </c>
      <c r="DA10" s="37" t="str">
        <f t="shared" si="94"/>
        <v>D</v>
      </c>
      <c r="DB10" s="37" t="str">
        <f t="shared" si="94"/>
        <v>L</v>
      </c>
      <c r="DC10" s="37" t="str">
        <f t="shared" si="94"/>
        <v>M</v>
      </c>
      <c r="DD10" s="37" t="str">
        <f t="shared" si="94"/>
        <v>M</v>
      </c>
      <c r="DE10" s="37" t="str">
        <f t="shared" si="94"/>
        <v>J</v>
      </c>
      <c r="DF10" s="37" t="str">
        <f t="shared" si="94"/>
        <v>V</v>
      </c>
      <c r="DG10" s="37" t="str">
        <f t="shared" si="94"/>
        <v>S</v>
      </c>
      <c r="DH10" s="37" t="str">
        <f t="shared" si="94"/>
        <v>D</v>
      </c>
    </row>
    <row r="11" spans="2:112" ht="10.55" customHeight="1" x14ac:dyDescent="0.3">
      <c r="B11" s="1" t="s">
        <v>43</v>
      </c>
      <c r="C11" s="12" t="s">
        <v>44</v>
      </c>
      <c r="D11" s="3"/>
      <c r="E11" s="3"/>
      <c r="H11" s="36">
        <f>Début_projet+Sem_Affichée*7</f>
        <v>45838</v>
      </c>
      <c r="I11" s="36">
        <f>IF($C$10="Jour",H11+1,H11+7)</f>
        <v>45839</v>
      </c>
      <c r="J11" s="36">
        <f t="shared" ref="J11:AL11" si="95">IF($C$10="Jour",I11+1,I11+7)</f>
        <v>45840</v>
      </c>
      <c r="K11" s="36">
        <f t="shared" si="95"/>
        <v>45841</v>
      </c>
      <c r="L11" s="36">
        <f t="shared" si="95"/>
        <v>45842</v>
      </c>
      <c r="M11" s="36">
        <f t="shared" si="95"/>
        <v>45843</v>
      </c>
      <c r="N11" s="36">
        <f t="shared" si="95"/>
        <v>45844</v>
      </c>
      <c r="O11" s="36">
        <f t="shared" si="95"/>
        <v>45845</v>
      </c>
      <c r="P11" s="36">
        <f t="shared" si="95"/>
        <v>45846</v>
      </c>
      <c r="Q11" s="36">
        <f t="shared" si="95"/>
        <v>45847</v>
      </c>
      <c r="R11" s="36">
        <f t="shared" si="95"/>
        <v>45848</v>
      </c>
      <c r="S11" s="36">
        <f t="shared" si="95"/>
        <v>45849</v>
      </c>
      <c r="T11" s="36">
        <f t="shared" si="95"/>
        <v>45850</v>
      </c>
      <c r="U11" s="36">
        <f t="shared" si="95"/>
        <v>45851</v>
      </c>
      <c r="V11" s="36">
        <f t="shared" si="95"/>
        <v>45852</v>
      </c>
      <c r="W11" s="36">
        <f t="shared" si="95"/>
        <v>45853</v>
      </c>
      <c r="X11" s="36">
        <f t="shared" si="95"/>
        <v>45854</v>
      </c>
      <c r="Y11" s="36">
        <f t="shared" si="95"/>
        <v>45855</v>
      </c>
      <c r="Z11" s="36">
        <f t="shared" si="95"/>
        <v>45856</v>
      </c>
      <c r="AA11" s="36">
        <f t="shared" si="95"/>
        <v>45857</v>
      </c>
      <c r="AB11" s="36">
        <f t="shared" si="95"/>
        <v>45858</v>
      </c>
      <c r="AC11" s="36">
        <f t="shared" si="95"/>
        <v>45859</v>
      </c>
      <c r="AD11" s="36">
        <f t="shared" si="95"/>
        <v>45860</v>
      </c>
      <c r="AE11" s="36">
        <f t="shared" si="95"/>
        <v>45861</v>
      </c>
      <c r="AF11" s="36">
        <f t="shared" si="95"/>
        <v>45862</v>
      </c>
      <c r="AG11" s="36">
        <f t="shared" si="95"/>
        <v>45863</v>
      </c>
      <c r="AH11" s="36">
        <f t="shared" si="95"/>
        <v>45864</v>
      </c>
      <c r="AI11" s="36">
        <f t="shared" si="95"/>
        <v>45865</v>
      </c>
      <c r="AJ11" s="36">
        <f t="shared" si="95"/>
        <v>45866</v>
      </c>
      <c r="AK11" s="36">
        <f t="shared" si="95"/>
        <v>45867</v>
      </c>
      <c r="AL11" s="36">
        <f t="shared" si="95"/>
        <v>45868</v>
      </c>
      <c r="AM11" s="36">
        <f t="shared" ref="AM11" si="96">IF($C$10="Jour",AL11+1,AL11+7)</f>
        <v>45869</v>
      </c>
      <c r="AN11" s="36">
        <f t="shared" ref="AN11" si="97">IF($C$10="Jour",AM11+1,AM11+7)</f>
        <v>45870</v>
      </c>
      <c r="AO11" s="36">
        <f t="shared" ref="AO11" si="98">IF($C$10="Jour",AN11+1,AN11+7)</f>
        <v>45871</v>
      </c>
      <c r="AP11" s="36">
        <f t="shared" ref="AP11" si="99">IF($C$10="Jour",AO11+1,AO11+7)</f>
        <v>45872</v>
      </c>
      <c r="AQ11" s="36">
        <f t="shared" ref="AQ11" si="100">IF($C$10="Jour",AP11+1,AP11+7)</f>
        <v>45873</v>
      </c>
      <c r="AR11" s="36">
        <f t="shared" ref="AR11" si="101">IF($C$10="Jour",AQ11+1,AQ11+7)</f>
        <v>45874</v>
      </c>
      <c r="AS11" s="36">
        <f t="shared" ref="AS11" si="102">IF($C$10="Jour",AR11+1,AR11+7)</f>
        <v>45875</v>
      </c>
      <c r="AT11" s="36">
        <f t="shared" ref="AT11" si="103">IF($C$10="Jour",AS11+1,AS11+7)</f>
        <v>45876</v>
      </c>
      <c r="AU11" s="36">
        <f t="shared" ref="AU11" si="104">IF($C$10="Jour",AT11+1,AT11+7)</f>
        <v>45877</v>
      </c>
      <c r="AV11" s="36">
        <f t="shared" ref="AV11" si="105">IF($C$10="Jour",AU11+1,AU11+7)</f>
        <v>45878</v>
      </c>
      <c r="AW11" s="36">
        <f t="shared" ref="AW11" si="106">IF($C$10="Jour",AV11+1,AV11+7)</f>
        <v>45879</v>
      </c>
      <c r="AX11" s="36">
        <f t="shared" ref="AX11" si="107">IF($C$10="Jour",AW11+1,AW11+7)</f>
        <v>45880</v>
      </c>
      <c r="AY11" s="36">
        <f t="shared" ref="AY11" si="108">IF($C$10="Jour",AX11+1,AX11+7)</f>
        <v>45881</v>
      </c>
      <c r="AZ11" s="36">
        <f t="shared" ref="AZ11" si="109">IF($C$10="Jour",AY11+1,AY11+7)</f>
        <v>45882</v>
      </c>
      <c r="BA11" s="36">
        <f t="shared" ref="BA11" si="110">IF($C$10="Jour",AZ11+1,AZ11+7)</f>
        <v>45883</v>
      </c>
      <c r="BB11" s="36">
        <f t="shared" ref="BB11" si="111">IF($C$10="Jour",BA11+1,BA11+7)</f>
        <v>45884</v>
      </c>
      <c r="BC11" s="36">
        <f t="shared" ref="BC11" si="112">IF($C$10="Jour",BB11+1,BB11+7)</f>
        <v>45885</v>
      </c>
      <c r="BD11" s="36">
        <f t="shared" ref="BD11" si="113">IF($C$10="Jour",BC11+1,BC11+7)</f>
        <v>45886</v>
      </c>
      <c r="BE11" s="36">
        <f t="shared" ref="BE11" si="114">IF($C$10="Jour",BD11+1,BD11+7)</f>
        <v>45887</v>
      </c>
      <c r="BF11" s="36">
        <f t="shared" ref="BF11" si="115">IF($C$10="Jour",BE11+1,BE11+7)</f>
        <v>45888</v>
      </c>
      <c r="BG11" s="36">
        <f t="shared" ref="BG11" si="116">IF($C$10="Jour",BF11+1,BF11+7)</f>
        <v>45889</v>
      </c>
      <c r="BH11" s="36">
        <f t="shared" ref="BH11" si="117">IF($C$10="Jour",BG11+1,BG11+7)</f>
        <v>45890</v>
      </c>
      <c r="BI11" s="36">
        <f t="shared" ref="BI11" si="118">IF($C$10="Jour",BH11+1,BH11+7)</f>
        <v>45891</v>
      </c>
      <c r="BJ11" s="36">
        <f t="shared" ref="BJ11" si="119">IF($C$10="Jour",BI11+1,BI11+7)</f>
        <v>45892</v>
      </c>
      <c r="BK11" s="36">
        <f t="shared" ref="BK11" si="120">IF($C$10="Jour",BJ11+1,BJ11+7)</f>
        <v>45893</v>
      </c>
      <c r="BL11" s="36">
        <f t="shared" ref="BL11" si="121">IF($C$10="Jour",BK11+1,BK11+7)</f>
        <v>45894</v>
      </c>
      <c r="BM11" s="36">
        <f t="shared" ref="BM11" si="122">IF($C$10="Jour",BL11+1,BL11+7)</f>
        <v>45895</v>
      </c>
      <c r="BN11" s="36">
        <f t="shared" ref="BN11" si="123">IF($C$10="Jour",BM11+1,BM11+7)</f>
        <v>45896</v>
      </c>
      <c r="BO11" s="36">
        <f t="shared" ref="BO11" si="124">IF($C$10="Jour",BN11+1,BN11+7)</f>
        <v>45897</v>
      </c>
      <c r="BP11" s="36">
        <f t="shared" ref="BP11" si="125">IF($C$10="Jour",BO11+1,BO11+7)</f>
        <v>45898</v>
      </c>
      <c r="BQ11" s="36">
        <f t="shared" ref="BQ11" si="126">IF($C$10="Jour",BP11+1,BP11+7)</f>
        <v>45899</v>
      </c>
      <c r="BR11" s="36">
        <f t="shared" ref="BR11" si="127">IF($C$10="Jour",BQ11+1,BQ11+7)</f>
        <v>45900</v>
      </c>
      <c r="BS11" s="36">
        <f t="shared" ref="BS11" si="128">IF($C$10="Jour",BR11+1,BR11+7)</f>
        <v>45901</v>
      </c>
      <c r="BT11" s="36">
        <f t="shared" ref="BT11" si="129">IF($C$10="Jour",BS11+1,BS11+7)</f>
        <v>45902</v>
      </c>
      <c r="BU11" s="36">
        <f t="shared" ref="BU11" si="130">IF($C$10="Jour",BT11+1,BT11+7)</f>
        <v>45903</v>
      </c>
      <c r="BV11" s="36">
        <f t="shared" ref="BV11" si="131">IF($C$10="Jour",BU11+1,BU11+7)</f>
        <v>45904</v>
      </c>
      <c r="BW11" s="36">
        <f t="shared" ref="BW11" si="132">IF($C$10="Jour",BV11+1,BV11+7)</f>
        <v>45905</v>
      </c>
      <c r="BX11" s="36">
        <f t="shared" ref="BX11" si="133">IF($C$10="Jour",BW11+1,BW11+7)</f>
        <v>45906</v>
      </c>
      <c r="BY11" s="36">
        <f t="shared" ref="BY11" si="134">IF($C$10="Jour",BX11+1,BX11+7)</f>
        <v>45907</v>
      </c>
      <c r="BZ11" s="36">
        <f t="shared" ref="BZ11" si="135">IF($C$10="Jour",BY11+1,BY11+7)</f>
        <v>45908</v>
      </c>
      <c r="CA11" s="36">
        <f t="shared" ref="CA11" si="136">IF($C$10="Jour",BZ11+1,BZ11+7)</f>
        <v>45909</v>
      </c>
      <c r="CB11" s="36">
        <f t="shared" ref="CB11" si="137">IF($C$10="Jour",CA11+1,CA11+7)</f>
        <v>45910</v>
      </c>
      <c r="CC11" s="36">
        <f t="shared" ref="CC11" si="138">IF($C$10="Jour",CB11+1,CB11+7)</f>
        <v>45911</v>
      </c>
      <c r="CD11" s="36">
        <f t="shared" ref="CD11" si="139">IF($C$10="Jour",CC11+1,CC11+7)</f>
        <v>45912</v>
      </c>
      <c r="CE11" s="36">
        <f t="shared" ref="CE11" si="140">IF($C$10="Jour",CD11+1,CD11+7)</f>
        <v>45913</v>
      </c>
      <c r="CF11" s="36">
        <f t="shared" ref="CF11" si="141">IF($C$10="Jour",CE11+1,CE11+7)</f>
        <v>45914</v>
      </c>
      <c r="CG11" s="36">
        <f t="shared" ref="CG11" si="142">IF($C$10="Jour",CF11+1,CF11+7)</f>
        <v>45915</v>
      </c>
      <c r="CH11" s="36">
        <f t="shared" ref="CH11" si="143">IF($C$10="Jour",CG11+1,CG11+7)</f>
        <v>45916</v>
      </c>
      <c r="CI11" s="36">
        <f t="shared" ref="CI11" si="144">IF($C$10="Jour",CH11+1,CH11+7)</f>
        <v>45917</v>
      </c>
      <c r="CJ11" s="36">
        <f t="shared" ref="CJ11" si="145">IF($C$10="Jour",CI11+1,CI11+7)</f>
        <v>45918</v>
      </c>
      <c r="CK11" s="36">
        <f t="shared" ref="CK11" si="146">IF($C$10="Jour",CJ11+1,CJ11+7)</f>
        <v>45919</v>
      </c>
      <c r="CL11" s="36">
        <f t="shared" ref="CL11" si="147">IF($C$10="Jour",CK11+1,CK11+7)</f>
        <v>45920</v>
      </c>
      <c r="CM11" s="36">
        <f t="shared" ref="CM11" si="148">IF($C$10="Jour",CL11+1,CL11+7)</f>
        <v>45921</v>
      </c>
      <c r="CN11" s="36">
        <f t="shared" ref="CN11" si="149">IF($C$10="Jour",CM11+1,CM11+7)</f>
        <v>45922</v>
      </c>
      <c r="CO11" s="36">
        <f t="shared" ref="CO11" si="150">IF($C$10="Jour",CN11+1,CN11+7)</f>
        <v>45923</v>
      </c>
      <c r="CP11" s="36">
        <f t="shared" ref="CP11" si="151">IF($C$10="Jour",CO11+1,CO11+7)</f>
        <v>45924</v>
      </c>
      <c r="CQ11" s="36">
        <f t="shared" ref="CQ11" si="152">IF($C$10="Jour",CP11+1,CP11+7)</f>
        <v>45925</v>
      </c>
      <c r="CR11" s="36">
        <f t="shared" ref="CR11" si="153">IF($C$10="Jour",CQ11+1,CQ11+7)</f>
        <v>45926</v>
      </c>
      <c r="CS11" s="36">
        <f t="shared" ref="CS11" si="154">IF($C$10="Jour",CR11+1,CR11+7)</f>
        <v>45927</v>
      </c>
      <c r="CT11" s="36">
        <f t="shared" ref="CT11" si="155">IF($C$10="Jour",CS11+1,CS11+7)</f>
        <v>45928</v>
      </c>
      <c r="CU11" s="36">
        <f t="shared" ref="CU11" si="156">IF($C$10="Jour",CT11+1,CT11+7)</f>
        <v>45929</v>
      </c>
      <c r="CV11" s="36">
        <f t="shared" ref="CV11" si="157">IF($C$10="Jour",CU11+1,CU11+7)</f>
        <v>45930</v>
      </c>
      <c r="CW11" s="36">
        <f t="shared" ref="CW11" si="158">IF($C$10="Jour",CV11+1,CV11+7)</f>
        <v>45931</v>
      </c>
      <c r="CX11" s="36">
        <f t="shared" ref="CX11" si="159">IF($C$10="Jour",CW11+1,CW11+7)</f>
        <v>45932</v>
      </c>
      <c r="CY11" s="36">
        <f t="shared" ref="CY11" si="160">IF($C$10="Jour",CX11+1,CX11+7)</f>
        <v>45933</v>
      </c>
      <c r="CZ11" s="36">
        <f t="shared" ref="CZ11" si="161">IF($C$10="Jour",CY11+1,CY11+7)</f>
        <v>45934</v>
      </c>
      <c r="DA11" s="36">
        <f t="shared" ref="DA11" si="162">IF($C$10="Jour",CZ11+1,CZ11+7)</f>
        <v>45935</v>
      </c>
      <c r="DB11" s="36">
        <f t="shared" ref="DB11" si="163">IF($C$10="Jour",DA11+1,DA11+7)</f>
        <v>45936</v>
      </c>
      <c r="DC11" s="36">
        <f t="shared" ref="DC11" si="164">IF($C$10="Jour",DB11+1,DB11+7)</f>
        <v>45937</v>
      </c>
      <c r="DD11" s="36">
        <f t="shared" ref="DD11" si="165">IF($C$10="Jour",DC11+1,DC11+7)</f>
        <v>45938</v>
      </c>
      <c r="DE11" s="36">
        <f t="shared" ref="DE11" si="166">IF($C$10="Jour",DD11+1,DD11+7)</f>
        <v>45939</v>
      </c>
      <c r="DF11" s="36">
        <f t="shared" ref="DF11" si="167">IF($C$10="Jour",DE11+1,DE11+7)</f>
        <v>45940</v>
      </c>
      <c r="DG11" s="36">
        <f t="shared" ref="DG11" si="168">IF($C$10="Jour",DF11+1,DF11+7)</f>
        <v>45941</v>
      </c>
      <c r="DH11" s="36">
        <f t="shared" ref="DH11" si="169">IF($C$10="Jour",DG11+1,DG11+7)</f>
        <v>45942</v>
      </c>
    </row>
    <row r="12" spans="2:112" ht="11.95" customHeight="1" x14ac:dyDescent="0.3">
      <c r="B12" s="21" t="s">
        <v>11</v>
      </c>
      <c r="C12" s="33" t="s">
        <v>45</v>
      </c>
      <c r="D12" s="22" t="s">
        <v>46</v>
      </c>
      <c r="E12" s="22" t="s">
        <v>16</v>
      </c>
      <c r="F12" s="22" t="s">
        <v>47</v>
      </c>
      <c r="G12" s="15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</row>
    <row r="13" spans="2:112" ht="11.95" customHeight="1" x14ac:dyDescent="0.3">
      <c r="B13" s="63" t="s">
        <v>78</v>
      </c>
      <c r="C13" s="12"/>
      <c r="D13" s="13"/>
      <c r="E13" s="23"/>
      <c r="F13" s="16"/>
      <c r="G13" s="26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</row>
    <row r="14" spans="2:112" ht="15" customHeight="1" x14ac:dyDescent="0.3">
      <c r="B14" s="48" t="str">
        <f>SoW!D20</f>
        <v>Collecte d'information</v>
      </c>
      <c r="C14" s="12" t="s">
        <v>18</v>
      </c>
      <c r="D14" s="13">
        <v>45838</v>
      </c>
      <c r="E14" s="17">
        <v>0.5</v>
      </c>
      <c r="F14" s="16">
        <f>IF(Tableau2[[#This Row],[Durée]]="",0,IF($C$9="Oui",Tableau2[[#This Row],[Début]]+Tableau2[[#This Row],[Durée]],WORKDAY(Tableau2[[#This Row],[Début]],Tableau2[[#This Row],[Durée]],Tableau4[Jour férié])))</f>
        <v>45838</v>
      </c>
      <c r="G14" s="17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</row>
    <row r="15" spans="2:112" ht="15" customHeight="1" x14ac:dyDescent="0.3">
      <c r="B15" s="63" t="e">
        <f>SoW!#REF!</f>
        <v>#REF!</v>
      </c>
      <c r="C15" s="12" t="s">
        <v>18</v>
      </c>
      <c r="D15" s="13">
        <f>D14+E14</f>
        <v>45838.5</v>
      </c>
      <c r="E15" s="17">
        <v>1</v>
      </c>
      <c r="F15" s="16">
        <f>IF(Tableau2[[#This Row],[Durée]]="",0,IF($C$9="Oui",Tableau2[[#This Row],[Début]]+Tableau2[[#This Row],[Durée]]-1,WORKDAY(Tableau2[[#This Row],[Début]],Tableau2[[#This Row],[Durée]]-1,Tableau4[Jour férié])))</f>
        <v>45838</v>
      </c>
      <c r="G15" s="17"/>
      <c r="H15" s="77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</row>
    <row r="16" spans="2:112" ht="15" customHeight="1" x14ac:dyDescent="0.3">
      <c r="B16" s="63" t="e">
        <f>SoW!#REF!</f>
        <v>#REF!</v>
      </c>
      <c r="C16" s="12" t="s">
        <v>18</v>
      </c>
      <c r="D16" s="13">
        <f>F15+1</f>
        <v>45839</v>
      </c>
      <c r="E16" s="17">
        <v>2</v>
      </c>
      <c r="F16" s="16">
        <f>IF(Tableau2[[#This Row],[Durée]]="",0,IF($C$9="Oui",Tableau2[[#This Row],[Début]]+Tableau2[[#This Row],[Durée]]-1,WORKDAY(Tableau2[[#This Row],[Début]],Tableau2[[#This Row],[Durée]]-1,Tableau4[Jour férié])))</f>
        <v>45840</v>
      </c>
      <c r="G16" s="17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</row>
    <row r="17" spans="2:112" x14ac:dyDescent="0.3">
      <c r="B17" s="63" t="s">
        <v>79</v>
      </c>
      <c r="C17" s="12"/>
      <c r="D17" s="13"/>
      <c r="E17" s="17"/>
      <c r="F17" s="16"/>
      <c r="G17" s="17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</row>
    <row r="18" spans="2:112" ht="14.25" customHeight="1" x14ac:dyDescent="0.3">
      <c r="B18" s="48" t="e">
        <f>SoW!#REF!</f>
        <v>#REF!</v>
      </c>
      <c r="C18" s="12" t="s">
        <v>25</v>
      </c>
      <c r="D18" s="13">
        <f>F16+1</f>
        <v>45841</v>
      </c>
      <c r="E18" s="17">
        <v>1</v>
      </c>
      <c r="F18" s="16">
        <f>IF(Tableau2[[#This Row],[Durée]]="",0,IF($C$9="Oui",Tableau2[[#This Row],[Début]]+Tableau2[[#This Row],[Durée]]-1,WORKDAY(Tableau2[[#This Row],[Début]],Tableau2[[#This Row],[Durée]]-1,Tableau4[Jour férié])))</f>
        <v>45841</v>
      </c>
      <c r="G18" s="17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</row>
    <row r="19" spans="2:112" ht="14.25" customHeight="1" x14ac:dyDescent="0.3">
      <c r="B19" s="48" t="e">
        <f>SoW!#REF!</f>
        <v>#REF!</v>
      </c>
      <c r="C19" s="12" t="s">
        <v>25</v>
      </c>
      <c r="D19" s="13">
        <f>D18+E18</f>
        <v>45842</v>
      </c>
      <c r="E19" s="17">
        <v>2</v>
      </c>
      <c r="F19" s="16">
        <f>IF(Tableau2[[#This Row],[Durée]]="",0,IF($C$9="Oui",Tableau2[[#This Row],[Début]]+Tableau2[[#This Row],[Durée]]-1,WORKDAY(Tableau2[[#This Row],[Début]],Tableau2[[#This Row],[Durée]]-1,Tableau4[Jour férié])))</f>
        <v>45845</v>
      </c>
      <c r="G19" s="17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</row>
    <row r="20" spans="2:112" ht="10.25" x14ac:dyDescent="0.3">
      <c r="B20" s="63" t="s">
        <v>105</v>
      </c>
      <c r="C20" s="12"/>
      <c r="D20" s="13"/>
      <c r="E20" s="17"/>
      <c r="F20" s="16"/>
      <c r="G20" s="17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</row>
    <row r="21" spans="2:112" ht="15.7" customHeight="1" x14ac:dyDescent="0.3">
      <c r="B21" s="48" t="e">
        <f>SoW!#REF!</f>
        <v>#REF!</v>
      </c>
      <c r="C21" s="63" t="s">
        <v>106</v>
      </c>
      <c r="D21" s="13">
        <f>F19+1</f>
        <v>45846</v>
      </c>
      <c r="E21" s="17">
        <v>0.5</v>
      </c>
      <c r="F21" s="16">
        <f>IF(Tableau2[[#This Row],[Durée]]="",0,IF($C$9="Oui",Tableau2[[#This Row],[Début]]+Tableau2[[#This Row],[Durée]],WORKDAY(Tableau2[[#This Row],[Début]],Tableau2[[#This Row],[Durée]],Tableau4[Jour férié])))</f>
        <v>45846</v>
      </c>
      <c r="G21" s="17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</row>
    <row r="22" spans="2:112" x14ac:dyDescent="0.3">
      <c r="B22" s="63" t="s">
        <v>80</v>
      </c>
      <c r="C22" s="12"/>
      <c r="D22" s="13"/>
      <c r="E22" s="17"/>
      <c r="F22" s="16"/>
      <c r="G22" s="17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</row>
    <row r="23" spans="2:112" ht="14.4" customHeight="1" x14ac:dyDescent="0.3">
      <c r="B23" s="63" t="str">
        <f>SoW!D21</f>
        <v>Installation physique</v>
      </c>
      <c r="C23" s="12" t="s">
        <v>25</v>
      </c>
      <c r="D23" s="13">
        <v>45848</v>
      </c>
      <c r="E23" s="17">
        <v>1</v>
      </c>
      <c r="F23" s="16">
        <f>IF(Tableau2[[#This Row],[Durée]]="",0,IF($C$9="Oui",Tableau2[[#This Row],[Début]]+Tableau2[[#This Row],[Durée]]-1,WORKDAY(Tableau2[[#This Row],[Début]],Tableau2[[#This Row],[Durée]]-1,Tableau4[Jour férié])))</f>
        <v>45848</v>
      </c>
      <c r="G23" s="17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</row>
    <row r="24" spans="2:112" ht="14.4" customHeight="1" x14ac:dyDescent="0.3">
      <c r="B24" s="48" t="str">
        <f>SoW!D22</f>
        <v>Configuration</v>
      </c>
      <c r="C24" s="12" t="s">
        <v>25</v>
      </c>
      <c r="D24" s="13">
        <f>D23+E23</f>
        <v>45849</v>
      </c>
      <c r="E24" s="17">
        <v>1</v>
      </c>
      <c r="F24" s="16">
        <f>IF(Tableau2[[#This Row],[Durée]]="",0,IF($C$9="Oui",Tableau2[[#This Row],[Début]]+Tableau2[[#This Row],[Durée]]-1,WORKDAY(Tableau2[[#This Row],[Début]],Tableau2[[#This Row],[Durée]]-1,Tableau4[Jour férié])))</f>
        <v>45849</v>
      </c>
      <c r="G24" s="17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</row>
    <row r="25" spans="2:112" ht="10.25" x14ac:dyDescent="0.3">
      <c r="B25" s="63" t="s">
        <v>107</v>
      </c>
      <c r="C25" s="12"/>
      <c r="D25" s="13"/>
      <c r="E25" s="17"/>
      <c r="F25" s="16"/>
      <c r="G25" s="17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</row>
    <row r="26" spans="2:112" ht="14.4" customHeight="1" x14ac:dyDescent="0.3">
      <c r="B26" s="63" t="e">
        <f>SoW!#REF!</f>
        <v>#REF!</v>
      </c>
      <c r="C26" s="12" t="s">
        <v>106</v>
      </c>
      <c r="D26" s="13">
        <f>F24</f>
        <v>45849</v>
      </c>
      <c r="E26" s="17">
        <v>0.5</v>
      </c>
      <c r="F26" s="16">
        <f>IF(Tableau2[[#This Row],[Durée]]="",0,IF($C$9="Oui",Tableau2[[#This Row],[Début]]+Tableau2[[#This Row],[Durée]],WORKDAY(Tableau2[[#This Row],[Début]],Tableau2[[#This Row],[Durée]],Tableau4[Jour férié])))</f>
        <v>45849</v>
      </c>
      <c r="G26" s="17"/>
    </row>
    <row r="27" spans="2:112" x14ac:dyDescent="0.3">
      <c r="B27" s="63" t="s">
        <v>81</v>
      </c>
      <c r="C27" s="12"/>
      <c r="D27" s="13"/>
      <c r="E27" s="17"/>
      <c r="F27" s="16"/>
      <c r="G27" s="17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</row>
    <row r="28" spans="2:112" ht="14.4" customHeight="1" x14ac:dyDescent="0.3">
      <c r="B28" s="63" t="e">
        <f>SoW!#REF!</f>
        <v>#REF!</v>
      </c>
      <c r="C28" s="12" t="s">
        <v>25</v>
      </c>
      <c r="D28" s="13">
        <v>45852</v>
      </c>
      <c r="E28" s="17">
        <v>1</v>
      </c>
      <c r="F28" s="16">
        <f>IF(Tableau2[[#This Row],[Durée]]="",0,IF($C$9="Oui",Tableau2[[#This Row],[Début]]+Tableau2[[#This Row],[Durée]]-1,WORKDAY(Tableau2[[#This Row],[Début]],Tableau2[[#This Row],[Durée]]-1,Tableau4[Jour férié])))</f>
        <v>45852</v>
      </c>
      <c r="G28" s="17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</row>
    <row r="29" spans="2:112" ht="14.4" customHeight="1" x14ac:dyDescent="0.3">
      <c r="B29" s="63" t="e">
        <f>SoW!#REF!</f>
        <v>#REF!</v>
      </c>
      <c r="C29" s="12" t="s">
        <v>25</v>
      </c>
      <c r="D29" s="13">
        <f>D28+E28</f>
        <v>45853</v>
      </c>
      <c r="E29" s="17">
        <v>1</v>
      </c>
      <c r="F29" s="16">
        <f>IF(Tableau2[[#This Row],[Durée]]="",0,IF($C$9="Oui",Tableau2[[#This Row],[Début]]+Tableau2[[#This Row],[Durée]]-1,WORKDAY(Tableau2[[#This Row],[Début]],Tableau2[[#This Row],[Durée]]-1,Tableau4[Jour férié])))</f>
        <v>45853</v>
      </c>
      <c r="G29" s="17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</row>
    <row r="30" spans="2:112" x14ac:dyDescent="0.3">
      <c r="B30" s="63" t="s">
        <v>108</v>
      </c>
      <c r="C30" s="12"/>
      <c r="D30" s="13"/>
      <c r="E30" s="17"/>
      <c r="F30" s="16"/>
      <c r="G30" s="17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32"/>
      <c r="DA30" s="32"/>
      <c r="DB30" s="32"/>
      <c r="DC30" s="32"/>
      <c r="DD30" s="32"/>
      <c r="DE30" s="32"/>
      <c r="DF30" s="32"/>
      <c r="DG30" s="32"/>
      <c r="DH30" s="32"/>
    </row>
    <row r="31" spans="2:112" ht="14.4" customHeight="1" x14ac:dyDescent="0.3">
      <c r="B31" s="63" t="e">
        <f>SoW!#REF!</f>
        <v>#REF!</v>
      </c>
      <c r="C31" s="12" t="s">
        <v>106</v>
      </c>
      <c r="D31" s="13">
        <f>F29</f>
        <v>45853</v>
      </c>
      <c r="E31" s="17">
        <v>0.5</v>
      </c>
      <c r="F31" s="16">
        <f>IF(Tableau2[[#This Row],[Durée]]="",0,IF($C$9="Oui",Tableau2[[#This Row],[Début]]+Tableau2[[#This Row],[Durée]],WORKDAY(Tableau2[[#This Row],[Début]],Tableau2[[#This Row],[Durée]],Tableau4[Jour férié])))</f>
        <v>45853</v>
      </c>
      <c r="G31" s="17"/>
    </row>
    <row r="32" spans="2:112" x14ac:dyDescent="0.3">
      <c r="B32" s="63" t="s">
        <v>82</v>
      </c>
      <c r="C32" s="12"/>
      <c r="D32" s="13"/>
      <c r="E32" s="17"/>
      <c r="F32" s="16"/>
      <c r="G32" s="17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</row>
    <row r="33" spans="2:112" ht="14.4" customHeight="1" x14ac:dyDescent="0.3">
      <c r="B33" s="63" t="e">
        <f>SoW!#REF!</f>
        <v>#REF!</v>
      </c>
      <c r="C33" s="12" t="s">
        <v>25</v>
      </c>
      <c r="D33" s="13">
        <v>45855</v>
      </c>
      <c r="E33" s="17">
        <v>1</v>
      </c>
      <c r="F33" s="16">
        <f>IF(Tableau2[[#This Row],[Durée]]="",0,IF($C$9="Oui",Tableau2[[#This Row],[Début]]+Tableau2[[#This Row],[Durée]]-1,WORKDAY(Tableau2[[#This Row],[Début]],Tableau2[[#This Row],[Durée]]-1,Tableau4[Jour férié])))</f>
        <v>45855</v>
      </c>
      <c r="G33" s="17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</row>
    <row r="34" spans="2:112" ht="14.4" customHeight="1" x14ac:dyDescent="0.3">
      <c r="B34" s="63" t="e">
        <f>SoW!#REF!</f>
        <v>#REF!</v>
      </c>
      <c r="C34" s="12" t="s">
        <v>25</v>
      </c>
      <c r="D34" s="13">
        <f>D33+E33</f>
        <v>45856</v>
      </c>
      <c r="E34" s="17">
        <v>1</v>
      </c>
      <c r="F34" s="16">
        <f>IF(Tableau2[[#This Row],[Durée]]="",0,IF($C$9="Oui",Tableau2[[#This Row],[Début]]+Tableau2[[#This Row],[Durée]]-1,WORKDAY(Tableau2[[#This Row],[Début]],Tableau2[[#This Row],[Durée]]-1,Tableau4[Jour férié])))</f>
        <v>45856</v>
      </c>
      <c r="G34" s="17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</row>
    <row r="35" spans="2:112" x14ac:dyDescent="0.3">
      <c r="B35" s="63" t="s">
        <v>109</v>
      </c>
      <c r="C35" s="12"/>
      <c r="D35" s="13"/>
      <c r="E35" s="17"/>
      <c r="F35" s="16"/>
      <c r="G35" s="17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</row>
    <row r="36" spans="2:112" ht="14.4" customHeight="1" x14ac:dyDescent="0.3">
      <c r="B36" s="63" t="e">
        <f>SoW!#REF!</f>
        <v>#REF!</v>
      </c>
      <c r="C36" s="12" t="s">
        <v>106</v>
      </c>
      <c r="D36" s="13">
        <f>F34</f>
        <v>45856</v>
      </c>
      <c r="E36" s="17">
        <v>0.5</v>
      </c>
      <c r="F36" s="16">
        <f>IF(Tableau2[[#This Row],[Durée]]="",0,IF($C$9="Oui",Tableau2[[#This Row],[Début]]+Tableau2[[#This Row],[Durée]],WORKDAY(Tableau2[[#This Row],[Début]],Tableau2[[#This Row],[Durée]],Tableau4[Jour férié])))</f>
        <v>45856</v>
      </c>
      <c r="G36" s="17"/>
    </row>
    <row r="37" spans="2:112" x14ac:dyDescent="0.3">
      <c r="B37" s="63" t="s">
        <v>83</v>
      </c>
      <c r="C37" s="12"/>
      <c r="D37" s="13"/>
      <c r="E37" s="17"/>
      <c r="F37" s="16"/>
      <c r="G37" s="17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</row>
    <row r="38" spans="2:112" ht="14.4" customHeight="1" x14ac:dyDescent="0.3">
      <c r="B38" s="63" t="e">
        <f>SoW!#REF!</f>
        <v>#REF!</v>
      </c>
      <c r="C38" s="12" t="s">
        <v>25</v>
      </c>
      <c r="D38" s="13">
        <v>45859</v>
      </c>
      <c r="E38" s="17">
        <v>1</v>
      </c>
      <c r="F38" s="16">
        <f>IF(Tableau2[[#This Row],[Durée]]="",0,IF($C$9="Oui",Tableau2[[#This Row],[Début]]+Tableau2[[#This Row],[Durée]]-1,WORKDAY(Tableau2[[#This Row],[Début]],Tableau2[[#This Row],[Durée]]-1,Tableau4[Jour férié])))</f>
        <v>45859</v>
      </c>
      <c r="G38" s="17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32"/>
      <c r="DA38" s="32"/>
      <c r="DB38" s="32"/>
      <c r="DC38" s="32"/>
      <c r="DD38" s="32"/>
      <c r="DE38" s="32"/>
      <c r="DF38" s="32"/>
      <c r="DG38" s="32"/>
      <c r="DH38" s="32"/>
    </row>
    <row r="39" spans="2:112" ht="14.4" customHeight="1" x14ac:dyDescent="0.3">
      <c r="B39" s="63" t="e">
        <f>SoW!#REF!</f>
        <v>#REF!</v>
      </c>
      <c r="C39" s="12" t="s">
        <v>25</v>
      </c>
      <c r="D39" s="13">
        <f>D38+E38</f>
        <v>45860</v>
      </c>
      <c r="E39" s="17">
        <v>1</v>
      </c>
      <c r="F39" s="16">
        <f>IF(Tableau2[[#This Row],[Durée]]="",0,IF($C$9="Oui",Tableau2[[#This Row],[Début]]+Tableau2[[#This Row],[Durée]]-1,WORKDAY(Tableau2[[#This Row],[Début]],Tableau2[[#This Row],[Durée]]-1,Tableau4[Jour férié])))</f>
        <v>45860</v>
      </c>
      <c r="G39" s="17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  <c r="CL39" s="32"/>
      <c r="CM39" s="32"/>
      <c r="CN39" s="32"/>
      <c r="CO39" s="32"/>
      <c r="CP39" s="32"/>
      <c r="CQ39" s="32"/>
      <c r="CR39" s="32"/>
      <c r="CS39" s="32"/>
      <c r="CT39" s="32"/>
      <c r="CU39" s="32"/>
      <c r="CV39" s="32"/>
      <c r="CW39" s="32"/>
      <c r="CX39" s="32"/>
      <c r="CY39" s="32"/>
      <c r="CZ39" s="32"/>
      <c r="DA39" s="32"/>
      <c r="DB39" s="32"/>
      <c r="DC39" s="32"/>
      <c r="DD39" s="32"/>
      <c r="DE39" s="32"/>
      <c r="DF39" s="32"/>
      <c r="DG39" s="32"/>
      <c r="DH39" s="32"/>
    </row>
    <row r="40" spans="2:112" x14ac:dyDescent="0.3">
      <c r="B40" s="63" t="s">
        <v>110</v>
      </c>
      <c r="C40" s="12"/>
      <c r="D40" s="13"/>
      <c r="E40" s="17"/>
      <c r="F40" s="16"/>
      <c r="G40" s="17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32"/>
      <c r="DA40" s="32"/>
      <c r="DB40" s="32"/>
      <c r="DC40" s="32"/>
      <c r="DD40" s="32"/>
      <c r="DE40" s="32"/>
      <c r="DF40" s="32"/>
      <c r="DG40" s="32"/>
      <c r="DH40" s="32"/>
    </row>
    <row r="41" spans="2:112" ht="14.4" customHeight="1" x14ac:dyDescent="0.3">
      <c r="B41" s="63" t="e">
        <f>SoW!#REF!</f>
        <v>#REF!</v>
      </c>
      <c r="C41" s="12" t="s">
        <v>106</v>
      </c>
      <c r="D41" s="13">
        <f>F39</f>
        <v>45860</v>
      </c>
      <c r="E41" s="17">
        <v>0.5</v>
      </c>
      <c r="F41" s="16">
        <f>IF(Tableau2[[#This Row],[Durée]]="",0,IF($C$9="Oui",Tableau2[[#This Row],[Début]]+Tableau2[[#This Row],[Durée]],WORKDAY(Tableau2[[#This Row],[Début]],Tableau2[[#This Row],[Durée]],Tableau4[Jour férié])))</f>
        <v>45860</v>
      </c>
      <c r="G41" s="17"/>
    </row>
    <row r="42" spans="2:112" x14ac:dyDescent="0.3">
      <c r="B42" s="63" t="s">
        <v>87</v>
      </c>
      <c r="C42" s="12"/>
      <c r="D42" s="13"/>
      <c r="E42" s="17"/>
      <c r="F42" s="16"/>
      <c r="G42" s="17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32"/>
      <c r="DA42" s="32"/>
      <c r="DB42" s="32"/>
      <c r="DC42" s="32"/>
      <c r="DD42" s="32"/>
      <c r="DE42" s="32"/>
      <c r="DF42" s="32"/>
      <c r="DG42" s="32"/>
      <c r="DH42" s="32"/>
    </row>
    <row r="43" spans="2:112" ht="14.4" customHeight="1" x14ac:dyDescent="0.3">
      <c r="B43" s="63" t="e">
        <f>SoW!#REF!</f>
        <v>#REF!</v>
      </c>
      <c r="C43" s="12" t="s">
        <v>25</v>
      </c>
      <c r="D43" s="13">
        <v>45862</v>
      </c>
      <c r="E43" s="17">
        <v>1</v>
      </c>
      <c r="F43" s="16">
        <f>IF(Tableau2[[#This Row],[Durée]]="",0,IF($C$9="Oui",Tableau2[[#This Row],[Début]]+Tableau2[[#This Row],[Durée]]-1,WORKDAY(Tableau2[[#This Row],[Début]],Tableau2[[#This Row],[Durée]]-1,Tableau4[Jour férié])))</f>
        <v>45862</v>
      </c>
      <c r="G43" s="17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</row>
    <row r="44" spans="2:112" ht="14.4" customHeight="1" x14ac:dyDescent="0.3">
      <c r="B44" s="63" t="e">
        <f>SoW!#REF!</f>
        <v>#REF!</v>
      </c>
      <c r="C44" s="12" t="s">
        <v>25</v>
      </c>
      <c r="D44" s="13">
        <f>D43+E43</f>
        <v>45863</v>
      </c>
      <c r="E44" s="17">
        <v>1</v>
      </c>
      <c r="F44" s="16">
        <f>IF(Tableau2[[#This Row],[Durée]]="",0,IF($C$9="Oui",Tableau2[[#This Row],[Début]]+Tableau2[[#This Row],[Durée]]-1,WORKDAY(Tableau2[[#This Row],[Début]],Tableau2[[#This Row],[Durée]]-1,Tableau4[Jour férié])))</f>
        <v>45863</v>
      </c>
      <c r="G44" s="17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32"/>
      <c r="DA44" s="32"/>
      <c r="DB44" s="32"/>
      <c r="DC44" s="32"/>
      <c r="DD44" s="32"/>
      <c r="DE44" s="32"/>
      <c r="DF44" s="32"/>
      <c r="DG44" s="32"/>
      <c r="DH44" s="32"/>
    </row>
    <row r="45" spans="2:112" x14ac:dyDescent="0.3">
      <c r="B45" s="63" t="s">
        <v>111</v>
      </c>
      <c r="C45" s="12"/>
      <c r="D45" s="13"/>
      <c r="E45" s="17"/>
      <c r="F45" s="16"/>
      <c r="G45" s="17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</row>
    <row r="46" spans="2:112" ht="14.4" customHeight="1" x14ac:dyDescent="0.3">
      <c r="B46" s="63" t="e">
        <f>SoW!#REF!</f>
        <v>#REF!</v>
      </c>
      <c r="C46" s="12" t="s">
        <v>106</v>
      </c>
      <c r="D46" s="13">
        <f>F44</f>
        <v>45863</v>
      </c>
      <c r="E46" s="17">
        <v>0.5</v>
      </c>
      <c r="F46" s="16">
        <f>IF(Tableau2[[#This Row],[Durée]]="",0,IF($C$9="Oui",Tableau2[[#This Row],[Début]]+Tableau2[[#This Row],[Durée]],WORKDAY(Tableau2[[#This Row],[Début]],Tableau2[[#This Row],[Durée]],Tableau4[Jour férié])))</f>
        <v>45863</v>
      </c>
      <c r="G46" s="17"/>
    </row>
    <row r="47" spans="2:112" x14ac:dyDescent="0.3">
      <c r="B47" s="63" t="s">
        <v>88</v>
      </c>
      <c r="C47" s="12"/>
      <c r="D47" s="13"/>
      <c r="E47" s="17"/>
      <c r="F47" s="16"/>
      <c r="G47" s="17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32"/>
      <c r="CU47" s="32"/>
      <c r="CV47" s="32"/>
      <c r="CW47" s="32"/>
      <c r="CX47" s="32"/>
      <c r="CY47" s="32"/>
      <c r="CZ47" s="32"/>
      <c r="DA47" s="32"/>
      <c r="DB47" s="32"/>
      <c r="DC47" s="32"/>
      <c r="DD47" s="32"/>
      <c r="DE47" s="32"/>
      <c r="DF47" s="32"/>
      <c r="DG47" s="32"/>
      <c r="DH47" s="32"/>
    </row>
    <row r="48" spans="2:112" ht="14.4" customHeight="1" x14ac:dyDescent="0.3">
      <c r="B48" s="63" t="e">
        <f>SoW!#REF!</f>
        <v>#REF!</v>
      </c>
      <c r="C48" s="12" t="s">
        <v>25</v>
      </c>
      <c r="D48" s="13">
        <v>45867</v>
      </c>
      <c r="E48" s="17">
        <v>1</v>
      </c>
      <c r="F48" s="16">
        <f>IF(Tableau2[[#This Row],[Durée]]="",0,IF($C$9="Oui",Tableau2[[#This Row],[Début]]+Tableau2[[#This Row],[Durée]]-1,WORKDAY(Tableau2[[#This Row],[Début]],Tableau2[[#This Row],[Durée]]-1,Tableau4[Jour férié])))</f>
        <v>45867</v>
      </c>
      <c r="G48" s="17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32"/>
      <c r="DA48" s="32"/>
      <c r="DB48" s="32"/>
      <c r="DC48" s="32"/>
      <c r="DD48" s="32"/>
      <c r="DE48" s="32"/>
      <c r="DF48" s="32"/>
      <c r="DG48" s="32"/>
      <c r="DH48" s="32"/>
    </row>
    <row r="49" spans="2:112" ht="14.4" customHeight="1" x14ac:dyDescent="0.3">
      <c r="B49" s="63" t="e">
        <f>SoW!#REF!</f>
        <v>#REF!</v>
      </c>
      <c r="C49" s="12" t="s">
        <v>25</v>
      </c>
      <c r="D49" s="13">
        <f>D48+E48</f>
        <v>45868</v>
      </c>
      <c r="E49" s="17">
        <v>1</v>
      </c>
      <c r="F49" s="16">
        <f>IF(Tableau2[[#This Row],[Durée]]="",0,IF($C$9="Oui",Tableau2[[#This Row],[Début]]+Tableau2[[#This Row],[Durée]]-1,WORKDAY(Tableau2[[#This Row],[Début]],Tableau2[[#This Row],[Durée]]-1,Tableau4[Jour férié])))</f>
        <v>45868</v>
      </c>
      <c r="G49" s="17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32"/>
      <c r="CT49" s="32"/>
      <c r="CU49" s="32"/>
      <c r="CV49" s="32"/>
      <c r="CW49" s="32"/>
      <c r="CX49" s="32"/>
      <c r="CY49" s="32"/>
      <c r="CZ49" s="32"/>
      <c r="DA49" s="32"/>
      <c r="DB49" s="32"/>
      <c r="DC49" s="32"/>
      <c r="DD49" s="32"/>
      <c r="DE49" s="32"/>
      <c r="DF49" s="32"/>
      <c r="DG49" s="32"/>
      <c r="DH49" s="32"/>
    </row>
    <row r="50" spans="2:112" x14ac:dyDescent="0.3">
      <c r="B50" s="63" t="s">
        <v>112</v>
      </c>
      <c r="C50" s="12"/>
      <c r="D50" s="13"/>
      <c r="E50" s="17"/>
      <c r="F50" s="16"/>
      <c r="G50" s="17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/>
      <c r="DB50" s="32"/>
      <c r="DC50" s="32"/>
      <c r="DD50" s="32"/>
      <c r="DE50" s="32"/>
      <c r="DF50" s="32"/>
      <c r="DG50" s="32"/>
      <c r="DH50" s="32"/>
    </row>
    <row r="51" spans="2:112" ht="14.4" customHeight="1" x14ac:dyDescent="0.3">
      <c r="B51" s="63" t="e">
        <f>SoW!#REF!</f>
        <v>#REF!</v>
      </c>
      <c r="C51" s="12" t="s">
        <v>106</v>
      </c>
      <c r="D51" s="13">
        <f>F49</f>
        <v>45868</v>
      </c>
      <c r="E51" s="17">
        <v>0.5</v>
      </c>
      <c r="F51" s="16">
        <f>IF(Tableau2[[#This Row],[Durée]]="",0,IF($C$9="Oui",Tableau2[[#This Row],[Début]]+Tableau2[[#This Row],[Durée]],WORKDAY(Tableau2[[#This Row],[Début]],Tableau2[[#This Row],[Durée]],Tableau4[Jour férié])))</f>
        <v>45868</v>
      </c>
      <c r="G51" s="17"/>
    </row>
    <row r="52" spans="2:112" x14ac:dyDescent="0.3">
      <c r="B52" s="63" t="s">
        <v>89</v>
      </c>
      <c r="C52" s="12"/>
      <c r="D52" s="13"/>
      <c r="E52" s="17"/>
      <c r="F52" s="16"/>
      <c r="G52" s="17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32"/>
      <c r="DA52" s="32"/>
      <c r="DB52" s="32"/>
      <c r="DC52" s="32"/>
      <c r="DD52" s="32"/>
      <c r="DE52" s="32"/>
      <c r="DF52" s="32"/>
      <c r="DG52" s="32"/>
      <c r="DH52" s="32"/>
    </row>
    <row r="53" spans="2:112" ht="14.4" customHeight="1" x14ac:dyDescent="0.3">
      <c r="B53" s="63" t="e">
        <f>SoW!#REF!</f>
        <v>#REF!</v>
      </c>
      <c r="C53" s="12" t="s">
        <v>25</v>
      </c>
      <c r="D53" s="13">
        <v>45873</v>
      </c>
      <c r="E53" s="17">
        <v>1</v>
      </c>
      <c r="F53" s="16">
        <f>IF(Tableau2[[#This Row],[Durée]]="",0,IF($C$9="Oui",Tableau2[[#This Row],[Début]]+Tableau2[[#This Row],[Durée]]-1,WORKDAY(Tableau2[[#This Row],[Début]],Tableau2[[#This Row],[Durée]]-1,Tableau4[Jour férié])))</f>
        <v>45873</v>
      </c>
      <c r="G53" s="17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32"/>
      <c r="CR53" s="32"/>
      <c r="CS53" s="32"/>
      <c r="CT53" s="32"/>
      <c r="CU53" s="32"/>
      <c r="CV53" s="32"/>
      <c r="CW53" s="32"/>
      <c r="CX53" s="32"/>
      <c r="CY53" s="32"/>
      <c r="CZ53" s="32"/>
      <c r="DA53" s="32"/>
      <c r="DB53" s="32"/>
      <c r="DC53" s="32"/>
      <c r="DD53" s="32"/>
      <c r="DE53" s="32"/>
      <c r="DF53" s="32"/>
      <c r="DG53" s="32"/>
      <c r="DH53" s="32"/>
    </row>
    <row r="54" spans="2:112" ht="14.4" customHeight="1" x14ac:dyDescent="0.3">
      <c r="B54" s="63" t="e">
        <f>SoW!#REF!</f>
        <v>#REF!</v>
      </c>
      <c r="C54" s="12" t="s">
        <v>25</v>
      </c>
      <c r="D54" s="13">
        <f>D53+E53</f>
        <v>45874</v>
      </c>
      <c r="E54" s="17">
        <v>1</v>
      </c>
      <c r="F54" s="16">
        <f>IF(Tableau2[[#This Row],[Durée]]="",0,IF($C$9="Oui",Tableau2[[#This Row],[Début]]+Tableau2[[#This Row],[Durée]]-1,WORKDAY(Tableau2[[#This Row],[Début]],Tableau2[[#This Row],[Durée]]-1,Tableau4[Jour férié])))</f>
        <v>45874</v>
      </c>
      <c r="G54" s="17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/>
      <c r="DB54" s="32"/>
      <c r="DC54" s="32"/>
      <c r="DD54" s="32"/>
      <c r="DE54" s="32"/>
      <c r="DF54" s="32"/>
      <c r="DG54" s="32"/>
      <c r="DH54" s="32"/>
    </row>
    <row r="55" spans="2:112" x14ac:dyDescent="0.3">
      <c r="B55" s="63" t="s">
        <v>113</v>
      </c>
      <c r="C55" s="12"/>
      <c r="D55" s="13"/>
      <c r="E55" s="17"/>
      <c r="F55" s="16"/>
      <c r="G55" s="17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32"/>
      <c r="CT55" s="32"/>
      <c r="CU55" s="32"/>
      <c r="CV55" s="32"/>
      <c r="CW55" s="32"/>
      <c r="CX55" s="32"/>
      <c r="CY55" s="32"/>
      <c r="CZ55" s="32"/>
      <c r="DA55" s="32"/>
      <c r="DB55" s="32"/>
      <c r="DC55" s="32"/>
      <c r="DD55" s="32"/>
      <c r="DE55" s="32"/>
      <c r="DF55" s="32"/>
      <c r="DG55" s="32"/>
      <c r="DH55" s="32"/>
    </row>
    <row r="56" spans="2:112" ht="14.4" customHeight="1" x14ac:dyDescent="0.3">
      <c r="B56" s="63" t="e">
        <f>SoW!#REF!</f>
        <v>#REF!</v>
      </c>
      <c r="C56" s="12" t="s">
        <v>106</v>
      </c>
      <c r="D56" s="13">
        <f>F54</f>
        <v>45874</v>
      </c>
      <c r="E56" s="17">
        <v>0.5</v>
      </c>
      <c r="F56" s="16">
        <f>IF(Tableau2[[#This Row],[Durée]]="",0,IF($C$9="Oui",Tableau2[[#This Row],[Début]]+Tableau2[[#This Row],[Durée]],WORKDAY(Tableau2[[#This Row],[Début]],Tableau2[[#This Row],[Durée]],Tableau4[Jour férié])))</f>
        <v>45874</v>
      </c>
      <c r="G56" s="17"/>
    </row>
    <row r="57" spans="2:112" x14ac:dyDescent="0.3">
      <c r="B57" s="63" t="s">
        <v>90</v>
      </c>
      <c r="C57" s="12"/>
      <c r="D57" s="13"/>
      <c r="E57" s="17"/>
      <c r="F57" s="16"/>
      <c r="G57" s="17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</row>
    <row r="58" spans="2:112" ht="14.4" customHeight="1" x14ac:dyDescent="0.3">
      <c r="B58" s="63" t="e">
        <f>SoW!#REF!</f>
        <v>#REF!</v>
      </c>
      <c r="C58" s="12" t="s">
        <v>25</v>
      </c>
      <c r="D58" s="13">
        <v>45880</v>
      </c>
      <c r="E58" s="17">
        <v>1</v>
      </c>
      <c r="F58" s="16">
        <f>IF(Tableau2[[#This Row],[Durée]]="",0,IF($C$9="Oui",Tableau2[[#This Row],[Début]]+Tableau2[[#This Row],[Durée]]-1,WORKDAY(Tableau2[[#This Row],[Début]],Tableau2[[#This Row],[Durée]]-1,Tableau4[Jour férié])))</f>
        <v>45880</v>
      </c>
      <c r="G58" s="17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32"/>
      <c r="DA58" s="32"/>
      <c r="DB58" s="32"/>
      <c r="DC58" s="32"/>
      <c r="DD58" s="32"/>
      <c r="DE58" s="32"/>
      <c r="DF58" s="32"/>
      <c r="DG58" s="32"/>
      <c r="DH58" s="32"/>
    </row>
    <row r="59" spans="2:112" ht="14.4" customHeight="1" x14ac:dyDescent="0.3">
      <c r="B59" s="63" t="e">
        <f>SoW!#REF!</f>
        <v>#REF!</v>
      </c>
      <c r="C59" s="12" t="s">
        <v>25</v>
      </c>
      <c r="D59" s="13">
        <f>D58+E58</f>
        <v>45881</v>
      </c>
      <c r="E59" s="17">
        <v>1</v>
      </c>
      <c r="F59" s="16">
        <f>IF(Tableau2[[#This Row],[Durée]]="",0,IF($C$9="Oui",Tableau2[[#This Row],[Début]]+Tableau2[[#This Row],[Durée]]-1,WORKDAY(Tableau2[[#This Row],[Début]],Tableau2[[#This Row],[Durée]]-1,Tableau4[Jour férié])))</f>
        <v>45881</v>
      </c>
      <c r="G59" s="17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/>
      <c r="DB59" s="32"/>
      <c r="DC59" s="32"/>
      <c r="DD59" s="32"/>
      <c r="DE59" s="32"/>
      <c r="DF59" s="32"/>
      <c r="DG59" s="32"/>
      <c r="DH59" s="32"/>
    </row>
    <row r="60" spans="2:112" x14ac:dyDescent="0.3">
      <c r="B60" s="63" t="s">
        <v>114</v>
      </c>
      <c r="C60" s="12"/>
      <c r="D60" s="13"/>
      <c r="E60" s="17"/>
      <c r="F60" s="16"/>
      <c r="G60" s="17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32"/>
      <c r="DA60" s="32"/>
      <c r="DB60" s="32"/>
      <c r="DC60" s="32"/>
      <c r="DD60" s="32"/>
      <c r="DE60" s="32"/>
      <c r="DF60" s="32"/>
      <c r="DG60" s="32"/>
      <c r="DH60" s="32"/>
    </row>
    <row r="61" spans="2:112" ht="14.4" customHeight="1" x14ac:dyDescent="0.3">
      <c r="B61" s="63" t="e">
        <f>SoW!#REF!</f>
        <v>#REF!</v>
      </c>
      <c r="C61" s="12" t="s">
        <v>106</v>
      </c>
      <c r="D61" s="13">
        <f>F59</f>
        <v>45881</v>
      </c>
      <c r="E61" s="17">
        <v>0.5</v>
      </c>
      <c r="F61" s="16">
        <f>IF(Tableau2[[#This Row],[Durée]]="",0,IF($C$9="Oui",Tableau2[[#This Row],[Début]]+Tableau2[[#This Row],[Durée]],WORKDAY(Tableau2[[#This Row],[Début]],Tableau2[[#This Row],[Durée]],Tableau4[Jour férié])))</f>
        <v>45881</v>
      </c>
      <c r="G61" s="17"/>
    </row>
    <row r="62" spans="2:112" x14ac:dyDescent="0.3">
      <c r="B62" s="63" t="s">
        <v>91</v>
      </c>
      <c r="C62" s="12"/>
      <c r="D62" s="13"/>
      <c r="E62" s="17"/>
      <c r="F62" s="16"/>
      <c r="G62" s="17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/>
      <c r="DB62" s="32"/>
      <c r="DC62" s="32"/>
      <c r="DD62" s="32"/>
      <c r="DE62" s="32"/>
      <c r="DF62" s="32"/>
      <c r="DG62" s="32"/>
      <c r="DH62" s="32"/>
    </row>
    <row r="63" spans="2:112" ht="14.4" customHeight="1" x14ac:dyDescent="0.3">
      <c r="B63" s="63" t="e">
        <f>SoW!#REF!</f>
        <v>#REF!</v>
      </c>
      <c r="C63" s="12" t="s">
        <v>25</v>
      </c>
      <c r="D63" s="13">
        <v>45887</v>
      </c>
      <c r="E63" s="17">
        <v>1</v>
      </c>
      <c r="F63" s="16">
        <f>IF(Tableau2[[#This Row],[Durée]]="",0,IF($C$9="Oui",Tableau2[[#This Row],[Début]]+Tableau2[[#This Row],[Durée]]-1,WORKDAY(Tableau2[[#This Row],[Début]],Tableau2[[#This Row],[Durée]]-1,Tableau4[Jour férié])))</f>
        <v>45887</v>
      </c>
      <c r="G63" s="17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32"/>
      <c r="CR63" s="32"/>
      <c r="CS63" s="32"/>
      <c r="CT63" s="32"/>
      <c r="CU63" s="32"/>
      <c r="CV63" s="32"/>
      <c r="CW63" s="32"/>
      <c r="CX63" s="32"/>
      <c r="CY63" s="32"/>
      <c r="CZ63" s="32"/>
      <c r="DA63" s="32"/>
      <c r="DB63" s="32"/>
      <c r="DC63" s="32"/>
      <c r="DD63" s="32"/>
      <c r="DE63" s="32"/>
      <c r="DF63" s="32"/>
      <c r="DG63" s="32"/>
      <c r="DH63" s="32"/>
    </row>
    <row r="64" spans="2:112" ht="14.4" customHeight="1" x14ac:dyDescent="0.3">
      <c r="B64" s="63" t="e">
        <f>SoW!#REF!</f>
        <v>#REF!</v>
      </c>
      <c r="C64" s="12" t="s">
        <v>25</v>
      </c>
      <c r="D64" s="13">
        <f>D63+E63</f>
        <v>45888</v>
      </c>
      <c r="E64" s="17">
        <v>1</v>
      </c>
      <c r="F64" s="16">
        <f>IF(Tableau2[[#This Row],[Durée]]="",0,IF($C$9="Oui",Tableau2[[#This Row],[Début]]+Tableau2[[#This Row],[Durée]]-1,WORKDAY(Tableau2[[#This Row],[Début]],Tableau2[[#This Row],[Durée]]-1,Tableau4[Jour férié])))</f>
        <v>45888</v>
      </c>
      <c r="G64" s="17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32"/>
      <c r="DA64" s="32"/>
      <c r="DB64" s="32"/>
      <c r="DC64" s="32"/>
      <c r="DD64" s="32"/>
      <c r="DE64" s="32"/>
      <c r="DF64" s="32"/>
      <c r="DG64" s="32"/>
      <c r="DH64" s="32"/>
    </row>
    <row r="65" spans="2:112" x14ac:dyDescent="0.3">
      <c r="B65" s="63" t="s">
        <v>115</v>
      </c>
      <c r="C65" s="12"/>
      <c r="D65" s="13"/>
      <c r="E65" s="17"/>
      <c r="F65" s="16"/>
      <c r="G65" s="17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32"/>
      <c r="CR65" s="32"/>
      <c r="CS65" s="32"/>
      <c r="CT65" s="32"/>
      <c r="CU65" s="32"/>
      <c r="CV65" s="32"/>
      <c r="CW65" s="32"/>
      <c r="CX65" s="32"/>
      <c r="CY65" s="32"/>
      <c r="CZ65" s="32"/>
      <c r="DA65" s="32"/>
      <c r="DB65" s="32"/>
      <c r="DC65" s="32"/>
      <c r="DD65" s="32"/>
      <c r="DE65" s="32"/>
      <c r="DF65" s="32"/>
      <c r="DG65" s="32"/>
      <c r="DH65" s="32"/>
    </row>
    <row r="66" spans="2:112" ht="14.4" customHeight="1" x14ac:dyDescent="0.3">
      <c r="B66" s="63" t="e">
        <f>SoW!#REF!</f>
        <v>#REF!</v>
      </c>
      <c r="C66" s="12" t="s">
        <v>106</v>
      </c>
      <c r="D66" s="13">
        <f>F64</f>
        <v>45888</v>
      </c>
      <c r="E66" s="17">
        <v>0.5</v>
      </c>
      <c r="F66" s="16">
        <f>IF(Tableau2[[#This Row],[Durée]]="",0,IF($C$9="Oui",Tableau2[[#This Row],[Début]]+Tableau2[[#This Row],[Durée]],WORKDAY(Tableau2[[#This Row],[Début]],Tableau2[[#This Row],[Durée]],Tableau4[Jour férié])))</f>
        <v>45888</v>
      </c>
      <c r="G66" s="17"/>
    </row>
    <row r="67" spans="2:112" x14ac:dyDescent="0.3">
      <c r="B67" s="63" t="s">
        <v>92</v>
      </c>
      <c r="C67" s="12"/>
      <c r="D67" s="13"/>
      <c r="E67" s="17"/>
      <c r="F67" s="16"/>
      <c r="G67" s="17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32"/>
      <c r="CR67" s="32"/>
      <c r="CS67" s="32"/>
      <c r="CT67" s="32"/>
      <c r="CU67" s="32"/>
      <c r="CV67" s="32"/>
      <c r="CW67" s="32"/>
      <c r="CX67" s="32"/>
      <c r="CY67" s="32"/>
      <c r="CZ67" s="32"/>
      <c r="DA67" s="32"/>
      <c r="DB67" s="32"/>
      <c r="DC67" s="32"/>
      <c r="DD67" s="32"/>
      <c r="DE67" s="32"/>
      <c r="DF67" s="32"/>
      <c r="DG67" s="32"/>
      <c r="DH67" s="32"/>
    </row>
    <row r="68" spans="2:112" ht="14.4" customHeight="1" x14ac:dyDescent="0.3">
      <c r="B68" s="63" t="e">
        <f>SoW!#REF!</f>
        <v>#REF!</v>
      </c>
      <c r="C68" s="12" t="s">
        <v>25</v>
      </c>
      <c r="D68" s="13">
        <v>45890</v>
      </c>
      <c r="E68" s="17">
        <v>1</v>
      </c>
      <c r="F68" s="16">
        <f>IF(Tableau2[[#This Row],[Durée]]="",0,IF($C$9="Oui",Tableau2[[#This Row],[Début]]+Tableau2[[#This Row],[Durée]]-1,WORKDAY(Tableau2[[#This Row],[Début]],Tableau2[[#This Row],[Durée]]-1,Tableau4[Jour férié])))</f>
        <v>45890</v>
      </c>
      <c r="G68" s="17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32"/>
      <c r="DA68" s="32"/>
      <c r="DB68" s="32"/>
      <c r="DC68" s="32"/>
      <c r="DD68" s="32"/>
      <c r="DE68" s="32"/>
      <c r="DF68" s="32"/>
      <c r="DG68" s="32"/>
      <c r="DH68" s="32"/>
    </row>
    <row r="69" spans="2:112" ht="14.4" customHeight="1" x14ac:dyDescent="0.3">
      <c r="B69" s="63" t="e">
        <f>SoW!#REF!</f>
        <v>#REF!</v>
      </c>
      <c r="C69" s="12" t="s">
        <v>25</v>
      </c>
      <c r="D69" s="13">
        <f>D68+E68</f>
        <v>45891</v>
      </c>
      <c r="E69" s="17">
        <v>1</v>
      </c>
      <c r="F69" s="16">
        <f>IF(Tableau2[[#This Row],[Durée]]="",0,IF($C$9="Oui",Tableau2[[#This Row],[Début]]+Tableau2[[#This Row],[Durée]]-1,WORKDAY(Tableau2[[#This Row],[Début]],Tableau2[[#This Row],[Durée]]-1,Tableau4[Jour férié])))</f>
        <v>45891</v>
      </c>
      <c r="G69" s="17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</row>
    <row r="70" spans="2:112" x14ac:dyDescent="0.3">
      <c r="B70" s="63" t="s">
        <v>116</v>
      </c>
      <c r="C70" s="12"/>
      <c r="D70" s="13"/>
      <c r="E70" s="17"/>
      <c r="F70" s="16"/>
      <c r="G70" s="17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</row>
    <row r="71" spans="2:112" ht="14.4" customHeight="1" x14ac:dyDescent="0.3">
      <c r="B71" s="63" t="e">
        <f>SoW!#REF!</f>
        <v>#REF!</v>
      </c>
      <c r="C71" s="12" t="s">
        <v>106</v>
      </c>
      <c r="D71" s="13">
        <f>F69</f>
        <v>45891</v>
      </c>
      <c r="E71" s="17">
        <v>0.5</v>
      </c>
      <c r="F71" s="16">
        <f>IF(Tableau2[[#This Row],[Durée]]="",0,IF($C$9="Oui",Tableau2[[#This Row],[Début]]+Tableau2[[#This Row],[Durée]],WORKDAY(Tableau2[[#This Row],[Début]],Tableau2[[#This Row],[Durée]],Tableau4[Jour férié])))</f>
        <v>45891</v>
      </c>
      <c r="G71" s="17"/>
    </row>
    <row r="72" spans="2:112" x14ac:dyDescent="0.3">
      <c r="B72" s="63" t="s">
        <v>93</v>
      </c>
      <c r="C72" s="12"/>
      <c r="D72" s="13"/>
      <c r="E72" s="17"/>
      <c r="F72" s="16"/>
      <c r="G72" s="17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  <c r="CB72" s="32"/>
      <c r="CC72" s="32"/>
      <c r="CD72" s="32"/>
      <c r="CE72" s="32"/>
      <c r="CF72" s="32"/>
      <c r="CG72" s="32"/>
      <c r="CH72" s="32"/>
      <c r="CI72" s="32"/>
      <c r="CJ72" s="32"/>
      <c r="CK72" s="32"/>
      <c r="CL72" s="32"/>
      <c r="CM72" s="32"/>
      <c r="CN72" s="32"/>
      <c r="CO72" s="32"/>
      <c r="CP72" s="32"/>
      <c r="CQ72" s="32"/>
      <c r="CR72" s="32"/>
      <c r="CS72" s="32"/>
      <c r="CT72" s="32"/>
      <c r="CU72" s="32"/>
      <c r="CV72" s="32"/>
      <c r="CW72" s="32"/>
      <c r="CX72" s="32"/>
      <c r="CY72" s="32"/>
      <c r="CZ72" s="32"/>
      <c r="DA72" s="32"/>
      <c r="DB72" s="32"/>
      <c r="DC72" s="32"/>
      <c r="DD72" s="32"/>
      <c r="DE72" s="32"/>
      <c r="DF72" s="32"/>
      <c r="DG72" s="32"/>
      <c r="DH72" s="32"/>
    </row>
    <row r="73" spans="2:112" ht="14.4" customHeight="1" x14ac:dyDescent="0.3">
      <c r="B73" s="63" t="e">
        <f>SoW!#REF!</f>
        <v>#REF!</v>
      </c>
      <c r="C73" s="12" t="s">
        <v>25</v>
      </c>
      <c r="D73" s="13">
        <v>45894</v>
      </c>
      <c r="E73" s="17">
        <v>1</v>
      </c>
      <c r="F73" s="16">
        <f>IF(Tableau2[[#This Row],[Durée]]="",0,IF($C$9="Oui",Tableau2[[#This Row],[Début]]+Tableau2[[#This Row],[Durée]]-1,WORKDAY(Tableau2[[#This Row],[Début]],Tableau2[[#This Row],[Durée]]-1,Tableau4[Jour férié])))</f>
        <v>45894</v>
      </c>
      <c r="G73" s="17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  <c r="CB73" s="32"/>
      <c r="CC73" s="32"/>
      <c r="CD73" s="32"/>
      <c r="CE73" s="32"/>
      <c r="CF73" s="32"/>
      <c r="CG73" s="32"/>
      <c r="CH73" s="32"/>
      <c r="CI73" s="32"/>
      <c r="CJ73" s="32"/>
      <c r="CK73" s="32"/>
      <c r="CL73" s="32"/>
      <c r="CM73" s="32"/>
      <c r="CN73" s="32"/>
      <c r="CO73" s="32"/>
      <c r="CP73" s="32"/>
      <c r="CQ73" s="32"/>
      <c r="CR73" s="32"/>
      <c r="CS73" s="32"/>
      <c r="CT73" s="32"/>
      <c r="CU73" s="32"/>
      <c r="CV73" s="32"/>
      <c r="CW73" s="32"/>
      <c r="CX73" s="32"/>
      <c r="CY73" s="32"/>
      <c r="CZ73" s="32"/>
      <c r="DA73" s="32"/>
      <c r="DB73" s="32"/>
      <c r="DC73" s="32"/>
      <c r="DD73" s="32"/>
      <c r="DE73" s="32"/>
      <c r="DF73" s="32"/>
      <c r="DG73" s="32"/>
      <c r="DH73" s="32"/>
    </row>
    <row r="74" spans="2:112" ht="14.4" customHeight="1" x14ac:dyDescent="0.3">
      <c r="B74" s="63" t="e">
        <f>SoW!#REF!</f>
        <v>#REF!</v>
      </c>
      <c r="C74" s="12" t="s">
        <v>25</v>
      </c>
      <c r="D74" s="13">
        <f>D73+E73</f>
        <v>45895</v>
      </c>
      <c r="E74" s="17">
        <v>1</v>
      </c>
      <c r="F74" s="16">
        <f>IF(Tableau2[[#This Row],[Durée]]="",0,IF($C$9="Oui",Tableau2[[#This Row],[Début]]+Tableau2[[#This Row],[Durée]]-1,WORKDAY(Tableau2[[#This Row],[Début]],Tableau2[[#This Row],[Durée]]-1,Tableau4[Jour férié])))</f>
        <v>45895</v>
      </c>
      <c r="G74" s="17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  <c r="CL74" s="32"/>
      <c r="CM74" s="32"/>
      <c r="CN74" s="32"/>
      <c r="CO74" s="32"/>
      <c r="CP74" s="32"/>
      <c r="CQ74" s="32"/>
      <c r="CR74" s="32"/>
      <c r="CS74" s="32"/>
      <c r="CT74" s="32"/>
      <c r="CU74" s="32"/>
      <c r="CV74" s="32"/>
      <c r="CW74" s="32"/>
      <c r="CX74" s="32"/>
      <c r="CY74" s="32"/>
      <c r="CZ74" s="32"/>
      <c r="DA74" s="32"/>
      <c r="DB74" s="32"/>
      <c r="DC74" s="32"/>
      <c r="DD74" s="32"/>
      <c r="DE74" s="32"/>
      <c r="DF74" s="32"/>
      <c r="DG74" s="32"/>
      <c r="DH74" s="32"/>
    </row>
    <row r="75" spans="2:112" x14ac:dyDescent="0.3">
      <c r="B75" s="63" t="s">
        <v>117</v>
      </c>
      <c r="C75" s="12"/>
      <c r="D75" s="13"/>
      <c r="E75" s="17"/>
      <c r="F75" s="16"/>
      <c r="G75" s="17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  <c r="CL75" s="32"/>
      <c r="CM75" s="32"/>
      <c r="CN75" s="32"/>
      <c r="CO75" s="32"/>
      <c r="CP75" s="32"/>
      <c r="CQ75" s="32"/>
      <c r="CR75" s="32"/>
      <c r="CS75" s="32"/>
      <c r="CT75" s="32"/>
      <c r="CU75" s="32"/>
      <c r="CV75" s="32"/>
      <c r="CW75" s="32"/>
      <c r="CX75" s="32"/>
      <c r="CY75" s="32"/>
      <c r="CZ75" s="32"/>
      <c r="DA75" s="32"/>
      <c r="DB75" s="32"/>
      <c r="DC75" s="32"/>
      <c r="DD75" s="32"/>
      <c r="DE75" s="32"/>
      <c r="DF75" s="32"/>
      <c r="DG75" s="32"/>
      <c r="DH75" s="32"/>
    </row>
    <row r="76" spans="2:112" ht="14.4" customHeight="1" x14ac:dyDescent="0.3">
      <c r="B76" s="63" t="e">
        <f>SoW!#REF!</f>
        <v>#REF!</v>
      </c>
      <c r="C76" s="12" t="s">
        <v>106</v>
      </c>
      <c r="D76" s="13">
        <f>F74</f>
        <v>45895</v>
      </c>
      <c r="E76" s="17">
        <v>0.5</v>
      </c>
      <c r="F76" s="16">
        <f>IF(Tableau2[[#This Row],[Durée]]="",0,IF($C$9="Oui",Tableau2[[#This Row],[Début]]+Tableau2[[#This Row],[Durée]],WORKDAY(Tableau2[[#This Row],[Début]],Tableau2[[#This Row],[Durée]],Tableau4[Jour férié])))</f>
        <v>45895</v>
      </c>
      <c r="G76" s="17"/>
    </row>
    <row r="77" spans="2:112" x14ac:dyDescent="0.3">
      <c r="B77" s="63" t="s">
        <v>94</v>
      </c>
      <c r="C77" s="12"/>
      <c r="D77" s="13"/>
      <c r="E77" s="17"/>
      <c r="F77" s="16"/>
      <c r="G77" s="17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  <c r="CI77" s="32"/>
      <c r="CJ77" s="32"/>
      <c r="CK77" s="32"/>
      <c r="CL77" s="32"/>
      <c r="CM77" s="32"/>
      <c r="CN77" s="32"/>
      <c r="CO77" s="32"/>
      <c r="CP77" s="32"/>
      <c r="CQ77" s="32"/>
      <c r="CR77" s="32"/>
      <c r="CS77" s="32"/>
      <c r="CT77" s="32"/>
      <c r="CU77" s="32"/>
      <c r="CV77" s="32"/>
      <c r="CW77" s="32"/>
      <c r="CX77" s="32"/>
      <c r="CY77" s="32"/>
      <c r="CZ77" s="32"/>
      <c r="DA77" s="32"/>
      <c r="DB77" s="32"/>
      <c r="DC77" s="32"/>
      <c r="DD77" s="32"/>
      <c r="DE77" s="32"/>
      <c r="DF77" s="32"/>
      <c r="DG77" s="32"/>
      <c r="DH77" s="32"/>
    </row>
    <row r="78" spans="2:112" ht="14.4" customHeight="1" x14ac:dyDescent="0.3">
      <c r="B78" s="63" t="e">
        <f>SoW!#REF!</f>
        <v>#REF!</v>
      </c>
      <c r="C78" s="12" t="s">
        <v>25</v>
      </c>
      <c r="D78" s="13">
        <v>45897</v>
      </c>
      <c r="E78" s="17">
        <v>1</v>
      </c>
      <c r="F78" s="16">
        <f>IF(Tableau2[[#This Row],[Durée]]="",0,IF($C$9="Oui",Tableau2[[#This Row],[Début]]+Tableau2[[#This Row],[Durée]]-1,WORKDAY(Tableau2[[#This Row],[Début]],Tableau2[[#This Row],[Durée]]-1,Tableau4[Jour férié])))</f>
        <v>45897</v>
      </c>
      <c r="G78" s="17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  <c r="CI78" s="32"/>
      <c r="CJ78" s="32"/>
      <c r="CK78" s="32"/>
      <c r="CL78" s="32"/>
      <c r="CM78" s="32"/>
      <c r="CN78" s="32"/>
      <c r="CO78" s="32"/>
      <c r="CP78" s="32"/>
      <c r="CQ78" s="32"/>
      <c r="CR78" s="32"/>
      <c r="CS78" s="32"/>
      <c r="CT78" s="32"/>
      <c r="CU78" s="32"/>
      <c r="CV78" s="32"/>
      <c r="CW78" s="32"/>
      <c r="CX78" s="32"/>
      <c r="CY78" s="32"/>
      <c r="CZ78" s="32"/>
      <c r="DA78" s="32"/>
      <c r="DB78" s="32"/>
      <c r="DC78" s="32"/>
      <c r="DD78" s="32"/>
      <c r="DE78" s="32"/>
      <c r="DF78" s="32"/>
      <c r="DG78" s="32"/>
      <c r="DH78" s="32"/>
    </row>
    <row r="79" spans="2:112" ht="14.4" customHeight="1" x14ac:dyDescent="0.3">
      <c r="B79" s="63" t="e">
        <f>SoW!#REF!</f>
        <v>#REF!</v>
      </c>
      <c r="C79" s="12" t="s">
        <v>25</v>
      </c>
      <c r="D79" s="13">
        <f>D78+E78</f>
        <v>45898</v>
      </c>
      <c r="E79" s="17">
        <v>1</v>
      </c>
      <c r="F79" s="16">
        <f>IF(Tableau2[[#This Row],[Durée]]="",0,IF($C$9="Oui",Tableau2[[#This Row],[Début]]+Tableau2[[#This Row],[Durée]]-1,WORKDAY(Tableau2[[#This Row],[Début]],Tableau2[[#This Row],[Durée]]-1,Tableau4[Jour férié])))</f>
        <v>45898</v>
      </c>
      <c r="G79" s="17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  <c r="BU79" s="32"/>
      <c r="BV79" s="32"/>
      <c r="BW79" s="32"/>
      <c r="BX79" s="32"/>
      <c r="BY79" s="32"/>
      <c r="BZ79" s="32"/>
      <c r="CA79" s="32"/>
      <c r="CB79" s="32"/>
      <c r="CC79" s="32"/>
      <c r="CD79" s="32"/>
      <c r="CE79" s="32"/>
      <c r="CF79" s="32"/>
      <c r="CG79" s="32"/>
      <c r="CH79" s="32"/>
      <c r="CI79" s="32"/>
      <c r="CJ79" s="32"/>
      <c r="CK79" s="32"/>
      <c r="CL79" s="32"/>
      <c r="CM79" s="32"/>
      <c r="CN79" s="32"/>
      <c r="CO79" s="32"/>
      <c r="CP79" s="32"/>
      <c r="CQ79" s="32"/>
      <c r="CR79" s="32"/>
      <c r="CS79" s="32"/>
      <c r="CT79" s="32"/>
      <c r="CU79" s="32"/>
      <c r="CV79" s="32"/>
      <c r="CW79" s="32"/>
      <c r="CX79" s="32"/>
      <c r="CY79" s="32"/>
      <c r="CZ79" s="32"/>
      <c r="DA79" s="32"/>
      <c r="DB79" s="32"/>
      <c r="DC79" s="32"/>
      <c r="DD79" s="32"/>
      <c r="DE79" s="32"/>
      <c r="DF79" s="32"/>
      <c r="DG79" s="32"/>
      <c r="DH79" s="32"/>
    </row>
    <row r="80" spans="2:112" x14ac:dyDescent="0.3">
      <c r="B80" s="63" t="s">
        <v>118</v>
      </c>
      <c r="C80" s="12"/>
      <c r="D80" s="13"/>
      <c r="E80" s="17"/>
      <c r="F80" s="16"/>
      <c r="G80" s="17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  <c r="BU80" s="32"/>
      <c r="BV80" s="32"/>
      <c r="BW80" s="32"/>
      <c r="BX80" s="32"/>
      <c r="BY80" s="32"/>
      <c r="BZ80" s="32"/>
      <c r="CA80" s="32"/>
      <c r="CB80" s="32"/>
      <c r="CC80" s="32"/>
      <c r="CD80" s="32"/>
      <c r="CE80" s="32"/>
      <c r="CF80" s="32"/>
      <c r="CG80" s="32"/>
      <c r="CH80" s="32"/>
      <c r="CI80" s="32"/>
      <c r="CJ80" s="32"/>
      <c r="CK80" s="32"/>
      <c r="CL80" s="32"/>
      <c r="CM80" s="32"/>
      <c r="CN80" s="32"/>
      <c r="CO80" s="32"/>
      <c r="CP80" s="32"/>
      <c r="CQ80" s="32"/>
      <c r="CR80" s="32"/>
      <c r="CS80" s="32"/>
      <c r="CT80" s="32"/>
      <c r="CU80" s="32"/>
      <c r="CV80" s="32"/>
      <c r="CW80" s="32"/>
      <c r="CX80" s="32"/>
      <c r="CY80" s="32"/>
      <c r="CZ80" s="32"/>
      <c r="DA80" s="32"/>
      <c r="DB80" s="32"/>
      <c r="DC80" s="32"/>
      <c r="DD80" s="32"/>
      <c r="DE80" s="32"/>
      <c r="DF80" s="32"/>
      <c r="DG80" s="32"/>
      <c r="DH80" s="32"/>
    </row>
    <row r="81" spans="2:112" ht="14.4" customHeight="1" x14ac:dyDescent="0.3">
      <c r="B81" s="63" t="e">
        <f>SoW!#REF!</f>
        <v>#REF!</v>
      </c>
      <c r="C81" s="12" t="s">
        <v>106</v>
      </c>
      <c r="D81" s="13">
        <f>F79</f>
        <v>45898</v>
      </c>
      <c r="E81" s="17">
        <v>0.5</v>
      </c>
      <c r="F81" s="16">
        <f>IF(Tableau2[[#This Row],[Durée]]="",0,IF($C$9="Oui",Tableau2[[#This Row],[Début]]+Tableau2[[#This Row],[Durée]],WORKDAY(Tableau2[[#This Row],[Début]],Tableau2[[#This Row],[Durée]],Tableau4[Jour férié])))</f>
        <v>45898</v>
      </c>
      <c r="G81" s="17"/>
    </row>
    <row r="82" spans="2:112" x14ac:dyDescent="0.3">
      <c r="B82" s="63" t="s">
        <v>95</v>
      </c>
      <c r="C82" s="12"/>
      <c r="D82" s="13"/>
      <c r="E82" s="17"/>
      <c r="F82" s="16"/>
      <c r="G82" s="17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32"/>
      <c r="CH82" s="32"/>
      <c r="CI82" s="32"/>
      <c r="CJ82" s="32"/>
      <c r="CK82" s="32"/>
      <c r="CL82" s="32"/>
      <c r="CM82" s="32"/>
      <c r="CN82" s="32"/>
      <c r="CO82" s="32"/>
      <c r="CP82" s="32"/>
      <c r="CQ82" s="32"/>
      <c r="CR82" s="32"/>
      <c r="CS82" s="32"/>
      <c r="CT82" s="32"/>
      <c r="CU82" s="32"/>
      <c r="CV82" s="32"/>
      <c r="CW82" s="32"/>
      <c r="CX82" s="32"/>
      <c r="CY82" s="32"/>
      <c r="CZ82" s="32"/>
      <c r="DA82" s="32"/>
      <c r="DB82" s="32"/>
      <c r="DC82" s="32"/>
      <c r="DD82" s="32"/>
      <c r="DE82" s="32"/>
      <c r="DF82" s="32"/>
      <c r="DG82" s="32"/>
      <c r="DH82" s="32"/>
    </row>
    <row r="83" spans="2:112" ht="14.4" customHeight="1" x14ac:dyDescent="0.3">
      <c r="B83" s="63" t="e">
        <f>SoW!#REF!</f>
        <v>#REF!</v>
      </c>
      <c r="C83" s="12" t="s">
        <v>25</v>
      </c>
      <c r="D83" s="13">
        <v>45901</v>
      </c>
      <c r="E83" s="17">
        <v>1</v>
      </c>
      <c r="F83" s="16">
        <f>IF(Tableau2[[#This Row],[Durée]]="",0,IF($C$9="Oui",Tableau2[[#This Row],[Début]]+Tableau2[[#This Row],[Durée]]-1,WORKDAY(Tableau2[[#This Row],[Début]],Tableau2[[#This Row],[Durée]]-1,Tableau4[Jour férié])))</f>
        <v>45901</v>
      </c>
      <c r="G83" s="17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  <c r="BU83" s="32"/>
      <c r="BV83" s="32"/>
      <c r="BW83" s="32"/>
      <c r="BX83" s="32"/>
      <c r="BY83" s="32"/>
      <c r="BZ83" s="32"/>
      <c r="CA83" s="32"/>
      <c r="CB83" s="32"/>
      <c r="CC83" s="32"/>
      <c r="CD83" s="32"/>
      <c r="CE83" s="32"/>
      <c r="CF83" s="32"/>
      <c r="CG83" s="32"/>
      <c r="CH83" s="32"/>
      <c r="CI83" s="32"/>
      <c r="CJ83" s="32"/>
      <c r="CK83" s="32"/>
      <c r="CL83" s="32"/>
      <c r="CM83" s="32"/>
      <c r="CN83" s="32"/>
      <c r="CO83" s="32"/>
      <c r="CP83" s="32"/>
      <c r="CQ83" s="32"/>
      <c r="CR83" s="32"/>
      <c r="CS83" s="32"/>
      <c r="CT83" s="32"/>
      <c r="CU83" s="32"/>
      <c r="CV83" s="32"/>
      <c r="CW83" s="32"/>
      <c r="CX83" s="32"/>
      <c r="CY83" s="32"/>
      <c r="CZ83" s="32"/>
      <c r="DA83" s="32"/>
      <c r="DB83" s="32"/>
      <c r="DC83" s="32"/>
      <c r="DD83" s="32"/>
      <c r="DE83" s="32"/>
      <c r="DF83" s="32"/>
      <c r="DG83" s="32"/>
      <c r="DH83" s="32"/>
    </row>
    <row r="84" spans="2:112" ht="14.4" customHeight="1" x14ac:dyDescent="0.3">
      <c r="B84" s="63" t="e">
        <f>SoW!#REF!</f>
        <v>#REF!</v>
      </c>
      <c r="C84" s="12" t="s">
        <v>25</v>
      </c>
      <c r="D84" s="13">
        <f>D83+E83</f>
        <v>45902</v>
      </c>
      <c r="E84" s="17">
        <v>1</v>
      </c>
      <c r="F84" s="16">
        <f>IF(Tableau2[[#This Row],[Durée]]="",0,IF($C$9="Oui",Tableau2[[#This Row],[Début]]+Tableau2[[#This Row],[Durée]]-1,WORKDAY(Tableau2[[#This Row],[Début]],Tableau2[[#This Row],[Durée]]-1,Tableau4[Jour férié])))</f>
        <v>45902</v>
      </c>
      <c r="G84" s="17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  <c r="BU84" s="32"/>
      <c r="BV84" s="32"/>
      <c r="BW84" s="32"/>
      <c r="BX84" s="32"/>
      <c r="BY84" s="32"/>
      <c r="BZ84" s="32"/>
      <c r="CA84" s="32"/>
      <c r="CB84" s="32"/>
      <c r="CC84" s="32"/>
      <c r="CD84" s="32"/>
      <c r="CE84" s="32"/>
      <c r="CF84" s="32"/>
      <c r="CG84" s="32"/>
      <c r="CH84" s="32"/>
      <c r="CI84" s="32"/>
      <c r="CJ84" s="32"/>
      <c r="CK84" s="32"/>
      <c r="CL84" s="32"/>
      <c r="CM84" s="32"/>
      <c r="CN84" s="32"/>
      <c r="CO84" s="32"/>
      <c r="CP84" s="32"/>
      <c r="CQ84" s="32"/>
      <c r="CR84" s="32"/>
      <c r="CS84" s="32"/>
      <c r="CT84" s="32"/>
      <c r="CU84" s="32"/>
      <c r="CV84" s="32"/>
      <c r="CW84" s="32"/>
      <c r="CX84" s="32"/>
      <c r="CY84" s="32"/>
      <c r="CZ84" s="32"/>
      <c r="DA84" s="32"/>
      <c r="DB84" s="32"/>
      <c r="DC84" s="32"/>
      <c r="DD84" s="32"/>
      <c r="DE84" s="32"/>
      <c r="DF84" s="32"/>
      <c r="DG84" s="32"/>
      <c r="DH84" s="32"/>
    </row>
    <row r="85" spans="2:112" x14ac:dyDescent="0.3">
      <c r="B85" s="63" t="s">
        <v>119</v>
      </c>
      <c r="C85" s="12"/>
      <c r="D85" s="13"/>
      <c r="E85" s="17"/>
      <c r="F85" s="16"/>
      <c r="G85" s="17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  <c r="BU85" s="32"/>
      <c r="BV85" s="32"/>
      <c r="BW85" s="32"/>
      <c r="BX85" s="32"/>
      <c r="BY85" s="32"/>
      <c r="BZ85" s="32"/>
      <c r="CA85" s="32"/>
      <c r="CB85" s="32"/>
      <c r="CC85" s="32"/>
      <c r="CD85" s="32"/>
      <c r="CE85" s="32"/>
      <c r="CF85" s="32"/>
      <c r="CG85" s="32"/>
      <c r="CH85" s="32"/>
      <c r="CI85" s="32"/>
      <c r="CJ85" s="32"/>
      <c r="CK85" s="32"/>
      <c r="CL85" s="32"/>
      <c r="CM85" s="32"/>
      <c r="CN85" s="32"/>
      <c r="CO85" s="32"/>
      <c r="CP85" s="32"/>
      <c r="CQ85" s="32"/>
      <c r="CR85" s="32"/>
      <c r="CS85" s="32"/>
      <c r="CT85" s="32"/>
      <c r="CU85" s="32"/>
      <c r="CV85" s="32"/>
      <c r="CW85" s="32"/>
      <c r="CX85" s="32"/>
      <c r="CY85" s="32"/>
      <c r="CZ85" s="32"/>
      <c r="DA85" s="32"/>
      <c r="DB85" s="32"/>
      <c r="DC85" s="32"/>
      <c r="DD85" s="32"/>
      <c r="DE85" s="32"/>
      <c r="DF85" s="32"/>
      <c r="DG85" s="32"/>
      <c r="DH85" s="32"/>
    </row>
    <row r="86" spans="2:112" ht="14.4" customHeight="1" x14ac:dyDescent="0.3">
      <c r="B86" s="63" t="e">
        <f>SoW!#REF!</f>
        <v>#REF!</v>
      </c>
      <c r="C86" s="12" t="s">
        <v>106</v>
      </c>
      <c r="D86" s="13">
        <f>F84</f>
        <v>45902</v>
      </c>
      <c r="E86" s="17">
        <v>0.5</v>
      </c>
      <c r="F86" s="16">
        <f>IF(Tableau2[[#This Row],[Durée]]="",0,IF($C$9="Oui",Tableau2[[#This Row],[Début]]+Tableau2[[#This Row],[Durée]],WORKDAY(Tableau2[[#This Row],[Début]],Tableau2[[#This Row],[Durée]],Tableau4[Jour férié])))</f>
        <v>45902</v>
      </c>
      <c r="G86" s="17"/>
    </row>
    <row r="87" spans="2:112" x14ac:dyDescent="0.3">
      <c r="B87" s="63" t="s">
        <v>96</v>
      </c>
      <c r="C87" s="12"/>
      <c r="D87" s="13"/>
      <c r="E87" s="17"/>
      <c r="F87" s="16"/>
      <c r="G87" s="17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  <c r="BU87" s="32"/>
      <c r="BV87" s="32"/>
      <c r="BW87" s="32"/>
      <c r="BX87" s="32"/>
      <c r="BY87" s="32"/>
      <c r="BZ87" s="32"/>
      <c r="CA87" s="32"/>
      <c r="CB87" s="32"/>
      <c r="CC87" s="32"/>
      <c r="CD87" s="32"/>
      <c r="CE87" s="32"/>
      <c r="CF87" s="32"/>
      <c r="CG87" s="32"/>
      <c r="CH87" s="32"/>
      <c r="CI87" s="32"/>
      <c r="CJ87" s="32"/>
      <c r="CK87" s="32"/>
      <c r="CL87" s="32"/>
      <c r="CM87" s="32"/>
      <c r="CN87" s="32"/>
      <c r="CO87" s="32"/>
      <c r="CP87" s="32"/>
      <c r="CQ87" s="32"/>
      <c r="CR87" s="32"/>
      <c r="CS87" s="32"/>
      <c r="CT87" s="32"/>
      <c r="CU87" s="32"/>
      <c r="CV87" s="32"/>
      <c r="CW87" s="32"/>
      <c r="CX87" s="32"/>
      <c r="CY87" s="32"/>
      <c r="CZ87" s="32"/>
      <c r="DA87" s="32"/>
      <c r="DB87" s="32"/>
      <c r="DC87" s="32"/>
      <c r="DD87" s="32"/>
      <c r="DE87" s="32"/>
      <c r="DF87" s="32"/>
      <c r="DG87" s="32"/>
      <c r="DH87" s="32"/>
    </row>
    <row r="88" spans="2:112" ht="14.4" customHeight="1" x14ac:dyDescent="0.3">
      <c r="B88" s="63" t="e">
        <f>SoW!#REF!</f>
        <v>#REF!</v>
      </c>
      <c r="C88" s="12" t="s">
        <v>25</v>
      </c>
      <c r="D88" s="13">
        <v>45908</v>
      </c>
      <c r="E88" s="17">
        <v>1</v>
      </c>
      <c r="F88" s="16">
        <f>IF(Tableau2[[#This Row],[Durée]]="",0,IF($C$9="Oui",Tableau2[[#This Row],[Début]]+Tableau2[[#This Row],[Durée]]-1,WORKDAY(Tableau2[[#This Row],[Début]],Tableau2[[#This Row],[Durée]]-1,Tableau4[Jour férié])))</f>
        <v>45908</v>
      </c>
      <c r="G88" s="17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  <c r="BU88" s="32"/>
      <c r="BV88" s="32"/>
      <c r="BW88" s="32"/>
      <c r="BX88" s="32"/>
      <c r="BY88" s="32"/>
      <c r="BZ88" s="32"/>
      <c r="CA88" s="32"/>
      <c r="CB88" s="32"/>
      <c r="CC88" s="32"/>
      <c r="CD88" s="32"/>
      <c r="CE88" s="32"/>
      <c r="CF88" s="32"/>
      <c r="CG88" s="32"/>
      <c r="CH88" s="32"/>
      <c r="CI88" s="32"/>
      <c r="CJ88" s="32"/>
      <c r="CK88" s="32"/>
      <c r="CL88" s="32"/>
      <c r="CM88" s="32"/>
      <c r="CN88" s="32"/>
      <c r="CO88" s="32"/>
      <c r="CP88" s="32"/>
      <c r="CQ88" s="32"/>
      <c r="CR88" s="32"/>
      <c r="CS88" s="32"/>
      <c r="CT88" s="32"/>
      <c r="CU88" s="32"/>
      <c r="CV88" s="32"/>
      <c r="CW88" s="32"/>
      <c r="CX88" s="32"/>
      <c r="CY88" s="32"/>
      <c r="CZ88" s="32"/>
      <c r="DA88" s="32"/>
      <c r="DB88" s="32"/>
      <c r="DC88" s="32"/>
      <c r="DD88" s="32"/>
      <c r="DE88" s="32"/>
      <c r="DF88" s="32"/>
      <c r="DG88" s="32"/>
      <c r="DH88" s="32"/>
    </row>
    <row r="89" spans="2:112" ht="14.4" customHeight="1" x14ac:dyDescent="0.3">
      <c r="B89" s="63" t="e">
        <f>SoW!#REF!</f>
        <v>#REF!</v>
      </c>
      <c r="C89" s="12" t="s">
        <v>25</v>
      </c>
      <c r="D89" s="13">
        <f>D88+E88</f>
        <v>45909</v>
      </c>
      <c r="E89" s="17">
        <v>1</v>
      </c>
      <c r="F89" s="16">
        <f>IF(Tableau2[[#This Row],[Durée]]="",0,IF($C$9="Oui",Tableau2[[#This Row],[Début]]+Tableau2[[#This Row],[Durée]]-1,WORKDAY(Tableau2[[#This Row],[Début]],Tableau2[[#This Row],[Durée]]-1,Tableau4[Jour férié])))</f>
        <v>45909</v>
      </c>
      <c r="G89" s="17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  <c r="BU89" s="32"/>
      <c r="BV89" s="32"/>
      <c r="BW89" s="32"/>
      <c r="BX89" s="32"/>
      <c r="BY89" s="32"/>
      <c r="BZ89" s="32"/>
      <c r="CA89" s="32"/>
      <c r="CB89" s="32"/>
      <c r="CC89" s="32"/>
      <c r="CD89" s="32"/>
      <c r="CE89" s="32"/>
      <c r="CF89" s="32"/>
      <c r="CG89" s="32"/>
      <c r="CH89" s="32"/>
      <c r="CI89" s="32"/>
      <c r="CJ89" s="32"/>
      <c r="CK89" s="32"/>
      <c r="CL89" s="32"/>
      <c r="CM89" s="32"/>
      <c r="CN89" s="32"/>
      <c r="CO89" s="32"/>
      <c r="CP89" s="32"/>
      <c r="CQ89" s="32"/>
      <c r="CR89" s="32"/>
      <c r="CS89" s="32"/>
      <c r="CT89" s="32"/>
      <c r="CU89" s="32"/>
      <c r="CV89" s="32"/>
      <c r="CW89" s="32"/>
      <c r="CX89" s="32"/>
      <c r="CY89" s="32"/>
      <c r="CZ89" s="32"/>
      <c r="DA89" s="32"/>
      <c r="DB89" s="32"/>
      <c r="DC89" s="32"/>
      <c r="DD89" s="32"/>
      <c r="DE89" s="32"/>
      <c r="DF89" s="32"/>
      <c r="DG89" s="32"/>
      <c r="DH89" s="32"/>
    </row>
    <row r="90" spans="2:112" x14ac:dyDescent="0.3">
      <c r="B90" s="63" t="s">
        <v>120</v>
      </c>
      <c r="C90" s="12"/>
      <c r="D90" s="13"/>
      <c r="E90" s="17"/>
      <c r="F90" s="16"/>
      <c r="G90" s="17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  <c r="BU90" s="32"/>
      <c r="BV90" s="32"/>
      <c r="BW90" s="32"/>
      <c r="BX90" s="32"/>
      <c r="BY90" s="32"/>
      <c r="BZ90" s="32"/>
      <c r="CA90" s="32"/>
      <c r="CB90" s="32"/>
      <c r="CC90" s="32"/>
      <c r="CD90" s="32"/>
      <c r="CE90" s="32"/>
      <c r="CF90" s="32"/>
      <c r="CG90" s="32"/>
      <c r="CH90" s="32"/>
      <c r="CI90" s="32"/>
      <c r="CJ90" s="32"/>
      <c r="CK90" s="32"/>
      <c r="CL90" s="32"/>
      <c r="CM90" s="32"/>
      <c r="CN90" s="32"/>
      <c r="CO90" s="32"/>
      <c r="CP90" s="32"/>
      <c r="CQ90" s="32"/>
      <c r="CR90" s="32"/>
      <c r="CS90" s="32"/>
      <c r="CT90" s="32"/>
      <c r="CU90" s="32"/>
      <c r="CV90" s="32"/>
      <c r="CW90" s="32"/>
      <c r="CX90" s="32"/>
      <c r="CY90" s="32"/>
      <c r="CZ90" s="32"/>
      <c r="DA90" s="32"/>
      <c r="DB90" s="32"/>
      <c r="DC90" s="32"/>
      <c r="DD90" s="32"/>
      <c r="DE90" s="32"/>
      <c r="DF90" s="32"/>
      <c r="DG90" s="32"/>
      <c r="DH90" s="32"/>
    </row>
    <row r="91" spans="2:112" ht="14.4" customHeight="1" x14ac:dyDescent="0.3">
      <c r="B91" s="63" t="e">
        <f>SoW!#REF!</f>
        <v>#REF!</v>
      </c>
      <c r="C91" s="12" t="s">
        <v>106</v>
      </c>
      <c r="D91" s="13">
        <f>F89</f>
        <v>45909</v>
      </c>
      <c r="E91" s="17">
        <v>0.5</v>
      </c>
      <c r="F91" s="16">
        <f>IF(Tableau2[[#This Row],[Durée]]="",0,IF($C$9="Oui",Tableau2[[#This Row],[Début]]+Tableau2[[#This Row],[Durée]],WORKDAY(Tableau2[[#This Row],[Début]],Tableau2[[#This Row],[Durée]],Tableau4[Jour férié])))</f>
        <v>45909</v>
      </c>
      <c r="G91" s="17"/>
    </row>
    <row r="92" spans="2:112" x14ac:dyDescent="0.3">
      <c r="B92" s="63" t="s">
        <v>97</v>
      </c>
      <c r="C92" s="12"/>
      <c r="D92" s="13"/>
      <c r="E92" s="17"/>
      <c r="F92" s="16"/>
      <c r="G92" s="17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  <c r="CR92" s="32"/>
      <c r="CS92" s="32"/>
      <c r="CT92" s="32"/>
      <c r="CU92" s="32"/>
      <c r="CV92" s="32"/>
      <c r="CW92" s="32"/>
      <c r="CX92" s="32"/>
      <c r="CY92" s="32"/>
      <c r="CZ92" s="32"/>
      <c r="DA92" s="32"/>
      <c r="DB92" s="32"/>
      <c r="DC92" s="32"/>
      <c r="DD92" s="32"/>
      <c r="DE92" s="32"/>
      <c r="DF92" s="32"/>
      <c r="DG92" s="32"/>
      <c r="DH92" s="32"/>
    </row>
    <row r="93" spans="2:112" ht="14.4" customHeight="1" x14ac:dyDescent="0.3">
      <c r="B93" s="63" t="e">
        <f>SoW!#REF!</f>
        <v>#REF!</v>
      </c>
      <c r="C93" s="12" t="s">
        <v>25</v>
      </c>
      <c r="D93" s="13">
        <v>45911</v>
      </c>
      <c r="E93" s="17">
        <v>1</v>
      </c>
      <c r="F93" s="16">
        <f>IF(Tableau2[[#This Row],[Durée]]="",0,IF($C$9="Oui",Tableau2[[#This Row],[Début]]+Tableau2[[#This Row],[Durée]]-1,WORKDAY(Tableau2[[#This Row],[Début]],Tableau2[[#This Row],[Durée]]-1,Tableau4[Jour férié])))</f>
        <v>45911</v>
      </c>
      <c r="G93" s="17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</row>
    <row r="94" spans="2:112" ht="14.4" customHeight="1" x14ac:dyDescent="0.3">
      <c r="B94" s="63" t="e">
        <f>SoW!#REF!</f>
        <v>#REF!</v>
      </c>
      <c r="C94" s="12" t="s">
        <v>25</v>
      </c>
      <c r="D94" s="13">
        <f>D93+E93</f>
        <v>45912</v>
      </c>
      <c r="E94" s="17">
        <v>1</v>
      </c>
      <c r="F94" s="16">
        <f>IF(Tableau2[[#This Row],[Durée]]="",0,IF($C$9="Oui",Tableau2[[#This Row],[Début]]+Tableau2[[#This Row],[Durée]]-1,WORKDAY(Tableau2[[#This Row],[Début]],Tableau2[[#This Row],[Durée]]-1,Tableau4[Jour férié])))</f>
        <v>45912</v>
      </c>
      <c r="G94" s="17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  <c r="BU94" s="32"/>
      <c r="BV94" s="32"/>
      <c r="BW94" s="32"/>
      <c r="BX94" s="32"/>
      <c r="BY94" s="32"/>
      <c r="BZ94" s="32"/>
      <c r="CA94" s="32"/>
      <c r="CB94" s="32"/>
      <c r="CC94" s="32"/>
      <c r="CD94" s="32"/>
      <c r="CE94" s="32"/>
      <c r="CF94" s="32"/>
      <c r="CG94" s="32"/>
      <c r="CH94" s="32"/>
      <c r="CI94" s="32"/>
      <c r="CJ94" s="32"/>
      <c r="CK94" s="32"/>
      <c r="CL94" s="32"/>
      <c r="CM94" s="32"/>
      <c r="CN94" s="32"/>
      <c r="CO94" s="32"/>
      <c r="CP94" s="32"/>
      <c r="CQ94" s="32"/>
      <c r="CR94" s="32"/>
      <c r="CS94" s="32"/>
      <c r="CT94" s="32"/>
      <c r="CU94" s="32"/>
      <c r="CV94" s="32"/>
      <c r="CW94" s="32"/>
      <c r="CX94" s="32"/>
      <c r="CY94" s="32"/>
      <c r="CZ94" s="32"/>
      <c r="DA94" s="32"/>
      <c r="DB94" s="32"/>
      <c r="DC94" s="32"/>
      <c r="DD94" s="32"/>
      <c r="DE94" s="32"/>
      <c r="DF94" s="32"/>
      <c r="DG94" s="32"/>
      <c r="DH94" s="32"/>
    </row>
    <row r="95" spans="2:112" x14ac:dyDescent="0.3">
      <c r="B95" s="63" t="s">
        <v>121</v>
      </c>
      <c r="C95" s="12"/>
      <c r="D95" s="13"/>
      <c r="E95" s="17"/>
      <c r="F95" s="16"/>
      <c r="G95" s="17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  <c r="CT95" s="32"/>
      <c r="CU95" s="32"/>
      <c r="CV95" s="32"/>
      <c r="CW95" s="32"/>
      <c r="CX95" s="32"/>
      <c r="CY95" s="32"/>
      <c r="CZ95" s="32"/>
      <c r="DA95" s="32"/>
      <c r="DB95" s="32"/>
      <c r="DC95" s="32"/>
      <c r="DD95" s="32"/>
      <c r="DE95" s="32"/>
      <c r="DF95" s="32"/>
      <c r="DG95" s="32"/>
      <c r="DH95" s="32"/>
    </row>
    <row r="96" spans="2:112" ht="14.4" customHeight="1" x14ac:dyDescent="0.3">
      <c r="B96" s="63" t="e">
        <f>SoW!#REF!</f>
        <v>#REF!</v>
      </c>
      <c r="C96" s="12" t="s">
        <v>106</v>
      </c>
      <c r="D96" s="13">
        <f>F94</f>
        <v>45912</v>
      </c>
      <c r="E96" s="17">
        <v>0.5</v>
      </c>
      <c r="F96" s="16">
        <f>IF(Tableau2[[#This Row],[Durée]]="",0,IF($C$9="Oui",Tableau2[[#This Row],[Début]]+Tableau2[[#This Row],[Durée]],WORKDAY(Tableau2[[#This Row],[Début]],Tableau2[[#This Row],[Durée]],Tableau4[Jour férié])))</f>
        <v>45912</v>
      </c>
      <c r="G96" s="17"/>
    </row>
    <row r="97" spans="2:112" x14ac:dyDescent="0.3">
      <c r="B97" s="63" t="s">
        <v>98</v>
      </c>
      <c r="C97" s="12"/>
      <c r="D97" s="13"/>
      <c r="E97" s="17"/>
      <c r="F97" s="16"/>
      <c r="G97" s="17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  <c r="BU97" s="32"/>
      <c r="BV97" s="32"/>
      <c r="BW97" s="32"/>
      <c r="BX97" s="32"/>
      <c r="BY97" s="32"/>
      <c r="BZ97" s="32"/>
      <c r="CA97" s="32"/>
      <c r="CB97" s="32"/>
      <c r="CC97" s="32"/>
      <c r="CD97" s="32"/>
      <c r="CE97" s="32"/>
      <c r="CF97" s="32"/>
      <c r="CG97" s="32"/>
      <c r="CH97" s="32"/>
      <c r="CI97" s="32"/>
      <c r="CJ97" s="32"/>
      <c r="CK97" s="32"/>
      <c r="CL97" s="32"/>
      <c r="CM97" s="32"/>
      <c r="CN97" s="32"/>
      <c r="CO97" s="32"/>
      <c r="CP97" s="32"/>
      <c r="CQ97" s="32"/>
      <c r="CR97" s="32"/>
      <c r="CS97" s="32"/>
      <c r="CT97" s="32"/>
      <c r="CU97" s="32"/>
      <c r="CV97" s="32"/>
      <c r="CW97" s="32"/>
      <c r="CX97" s="32"/>
      <c r="CY97" s="32"/>
      <c r="CZ97" s="32"/>
      <c r="DA97" s="32"/>
      <c r="DB97" s="32"/>
      <c r="DC97" s="32"/>
      <c r="DD97" s="32"/>
      <c r="DE97" s="32"/>
      <c r="DF97" s="32"/>
      <c r="DG97" s="32"/>
      <c r="DH97" s="32"/>
    </row>
    <row r="98" spans="2:112" ht="14.4" customHeight="1" x14ac:dyDescent="0.3">
      <c r="B98" s="63" t="e">
        <f>SoW!#REF!</f>
        <v>#REF!</v>
      </c>
      <c r="C98" s="12" t="s">
        <v>25</v>
      </c>
      <c r="D98" s="13">
        <v>45918</v>
      </c>
      <c r="E98" s="17">
        <v>1</v>
      </c>
      <c r="F98" s="16">
        <f>IF(Tableau2[[#This Row],[Durée]]="",0,IF($C$9="Oui",Tableau2[[#This Row],[Début]]+Tableau2[[#This Row],[Durée]]-1,WORKDAY(Tableau2[[#This Row],[Début]],Tableau2[[#This Row],[Durée]]-1,Tableau4[Jour férié])))</f>
        <v>45918</v>
      </c>
      <c r="G98" s="17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2"/>
      <c r="BR98" s="32"/>
      <c r="BS98" s="32"/>
      <c r="BT98" s="32"/>
      <c r="BU98" s="32"/>
      <c r="BV98" s="32"/>
      <c r="BW98" s="32"/>
      <c r="BX98" s="32"/>
      <c r="BY98" s="32"/>
      <c r="BZ98" s="32"/>
      <c r="CA98" s="32"/>
      <c r="CB98" s="32"/>
      <c r="CC98" s="32"/>
      <c r="CD98" s="32"/>
      <c r="CE98" s="32"/>
      <c r="CF98" s="32"/>
      <c r="CG98" s="32"/>
      <c r="CH98" s="32"/>
      <c r="CI98" s="32"/>
      <c r="CJ98" s="32"/>
      <c r="CK98" s="32"/>
      <c r="CL98" s="32"/>
      <c r="CM98" s="32"/>
      <c r="CN98" s="32"/>
      <c r="CO98" s="32"/>
      <c r="CP98" s="32"/>
      <c r="CQ98" s="32"/>
      <c r="CR98" s="32"/>
      <c r="CS98" s="32"/>
      <c r="CT98" s="32"/>
      <c r="CU98" s="32"/>
      <c r="CV98" s="32"/>
      <c r="CW98" s="32"/>
      <c r="CX98" s="32"/>
      <c r="CY98" s="32"/>
      <c r="CZ98" s="32"/>
      <c r="DA98" s="32"/>
      <c r="DB98" s="32"/>
      <c r="DC98" s="32"/>
      <c r="DD98" s="32"/>
      <c r="DE98" s="32"/>
      <c r="DF98" s="32"/>
      <c r="DG98" s="32"/>
      <c r="DH98" s="32"/>
    </row>
    <row r="99" spans="2:112" ht="14.4" customHeight="1" x14ac:dyDescent="0.3">
      <c r="B99" s="63" t="e">
        <f>SoW!#REF!</f>
        <v>#REF!</v>
      </c>
      <c r="C99" s="12" t="s">
        <v>25</v>
      </c>
      <c r="D99" s="13">
        <f>D98+E98</f>
        <v>45919</v>
      </c>
      <c r="E99" s="17">
        <v>1</v>
      </c>
      <c r="F99" s="16">
        <f>IF(Tableau2[[#This Row],[Durée]]="",0,IF($C$9="Oui",Tableau2[[#This Row],[Début]]+Tableau2[[#This Row],[Durée]]-1,WORKDAY(Tableau2[[#This Row],[Début]],Tableau2[[#This Row],[Durée]]-1,Tableau4[Jour férié])))</f>
        <v>45919</v>
      </c>
      <c r="G99" s="17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2"/>
      <c r="BR99" s="32"/>
      <c r="BS99" s="32"/>
      <c r="BT99" s="32"/>
      <c r="BU99" s="32"/>
      <c r="BV99" s="32"/>
      <c r="BW99" s="32"/>
      <c r="BX99" s="32"/>
      <c r="BY99" s="32"/>
      <c r="BZ99" s="32"/>
      <c r="CA99" s="32"/>
      <c r="CB99" s="32"/>
      <c r="CC99" s="32"/>
      <c r="CD99" s="32"/>
      <c r="CE99" s="32"/>
      <c r="CF99" s="32"/>
      <c r="CG99" s="32"/>
      <c r="CH99" s="32"/>
      <c r="CI99" s="32"/>
      <c r="CJ99" s="32"/>
      <c r="CK99" s="32"/>
      <c r="CL99" s="32"/>
      <c r="CM99" s="32"/>
      <c r="CN99" s="32"/>
      <c r="CO99" s="32"/>
      <c r="CP99" s="32"/>
      <c r="CQ99" s="32"/>
      <c r="CR99" s="32"/>
      <c r="CS99" s="32"/>
      <c r="CT99" s="32"/>
      <c r="CU99" s="32"/>
      <c r="CV99" s="32"/>
      <c r="CW99" s="32"/>
      <c r="CX99" s="32"/>
      <c r="CY99" s="32"/>
      <c r="CZ99" s="32"/>
      <c r="DA99" s="32"/>
      <c r="DB99" s="32"/>
      <c r="DC99" s="32"/>
      <c r="DD99" s="32"/>
      <c r="DE99" s="32"/>
      <c r="DF99" s="32"/>
      <c r="DG99" s="32"/>
      <c r="DH99" s="32"/>
    </row>
    <row r="100" spans="2:112" x14ac:dyDescent="0.3">
      <c r="B100" s="63" t="s">
        <v>122</v>
      </c>
      <c r="C100" s="12"/>
      <c r="D100" s="13"/>
      <c r="E100" s="17"/>
      <c r="F100" s="16"/>
      <c r="G100" s="17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2"/>
      <c r="BR100" s="32"/>
      <c r="BS100" s="32"/>
      <c r="BT100" s="32"/>
      <c r="BU100" s="32"/>
      <c r="BV100" s="32"/>
      <c r="BW100" s="32"/>
      <c r="BX100" s="32"/>
      <c r="BY100" s="32"/>
      <c r="BZ100" s="32"/>
      <c r="CA100" s="32"/>
      <c r="CB100" s="32"/>
      <c r="CC100" s="32"/>
      <c r="CD100" s="32"/>
      <c r="CE100" s="32"/>
      <c r="CF100" s="32"/>
      <c r="CG100" s="32"/>
      <c r="CH100" s="32"/>
      <c r="CI100" s="32"/>
      <c r="CJ100" s="32"/>
      <c r="CK100" s="32"/>
      <c r="CL100" s="32"/>
      <c r="CM100" s="32"/>
      <c r="CN100" s="32"/>
      <c r="CO100" s="32"/>
      <c r="CP100" s="32"/>
      <c r="CQ100" s="32"/>
      <c r="CR100" s="32"/>
      <c r="CS100" s="32"/>
      <c r="CT100" s="32"/>
      <c r="CU100" s="32"/>
      <c r="CV100" s="32"/>
      <c r="CW100" s="32"/>
      <c r="CX100" s="32"/>
      <c r="CY100" s="32"/>
      <c r="CZ100" s="32"/>
      <c r="DA100" s="32"/>
      <c r="DB100" s="32"/>
      <c r="DC100" s="32"/>
      <c r="DD100" s="32"/>
      <c r="DE100" s="32"/>
      <c r="DF100" s="32"/>
      <c r="DG100" s="32"/>
      <c r="DH100" s="32"/>
    </row>
    <row r="101" spans="2:112" ht="14.4" customHeight="1" x14ac:dyDescent="0.3">
      <c r="B101" s="63" t="e">
        <f>SoW!#REF!</f>
        <v>#REF!</v>
      </c>
      <c r="C101" s="12" t="s">
        <v>106</v>
      </c>
      <c r="D101" s="13">
        <f>F99</f>
        <v>45919</v>
      </c>
      <c r="E101" s="17">
        <v>0.5</v>
      </c>
      <c r="F101" s="16">
        <f>IF(Tableau2[[#This Row],[Durée]]="",0,IF($C$9="Oui",Tableau2[[#This Row],[Début]]+Tableau2[[#This Row],[Durée]],WORKDAY(Tableau2[[#This Row],[Début]],Tableau2[[#This Row],[Durée]],Tableau4[Jour férié])))</f>
        <v>45919</v>
      </c>
      <c r="G101" s="17"/>
    </row>
    <row r="102" spans="2:112" x14ac:dyDescent="0.3">
      <c r="B102" s="63" t="s">
        <v>99</v>
      </c>
      <c r="C102" s="12"/>
      <c r="D102" s="13"/>
      <c r="E102" s="17"/>
      <c r="F102" s="16"/>
      <c r="G102" s="17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2"/>
      <c r="BR102" s="32"/>
      <c r="BS102" s="32"/>
      <c r="BT102" s="32"/>
      <c r="BU102" s="32"/>
      <c r="BV102" s="32"/>
      <c r="BW102" s="32"/>
      <c r="BX102" s="32"/>
      <c r="BY102" s="32"/>
      <c r="BZ102" s="32"/>
      <c r="CA102" s="32"/>
      <c r="CB102" s="32"/>
      <c r="CC102" s="32"/>
      <c r="CD102" s="32"/>
      <c r="CE102" s="32"/>
      <c r="CF102" s="32"/>
      <c r="CG102" s="32"/>
      <c r="CH102" s="32"/>
      <c r="CI102" s="32"/>
      <c r="CJ102" s="32"/>
      <c r="CK102" s="32"/>
      <c r="CL102" s="32"/>
      <c r="CM102" s="32"/>
      <c r="CN102" s="32"/>
      <c r="CO102" s="32"/>
      <c r="CP102" s="32"/>
      <c r="CQ102" s="32"/>
      <c r="CR102" s="32"/>
      <c r="CS102" s="32"/>
      <c r="CT102" s="32"/>
      <c r="CU102" s="32"/>
      <c r="CV102" s="32"/>
      <c r="CW102" s="32"/>
      <c r="CX102" s="32"/>
      <c r="CY102" s="32"/>
      <c r="CZ102" s="32"/>
      <c r="DA102" s="32"/>
      <c r="DB102" s="32"/>
      <c r="DC102" s="32"/>
      <c r="DD102" s="32"/>
      <c r="DE102" s="32"/>
      <c r="DF102" s="32"/>
      <c r="DG102" s="32"/>
      <c r="DH102" s="32"/>
    </row>
    <row r="103" spans="2:112" ht="14.4" customHeight="1" x14ac:dyDescent="0.3">
      <c r="B103" s="63" t="e">
        <f>SoW!#REF!</f>
        <v>#REF!</v>
      </c>
      <c r="C103" s="12" t="s">
        <v>25</v>
      </c>
      <c r="D103" s="13">
        <v>45922</v>
      </c>
      <c r="E103" s="17">
        <v>1</v>
      </c>
      <c r="F103" s="16">
        <f>IF(Tableau2[[#This Row],[Durée]]="",0,IF($C$9="Oui",Tableau2[[#This Row],[Début]]+Tableau2[[#This Row],[Durée]]-1,WORKDAY(Tableau2[[#This Row],[Début]],Tableau2[[#This Row],[Durée]]-1,Tableau4[Jour férié])))</f>
        <v>45922</v>
      </c>
      <c r="G103" s="17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2"/>
      <c r="BR103" s="32"/>
      <c r="BS103" s="32"/>
      <c r="BT103" s="32"/>
      <c r="BU103" s="32"/>
      <c r="BV103" s="32"/>
      <c r="BW103" s="32"/>
      <c r="BX103" s="32"/>
      <c r="BY103" s="32"/>
      <c r="BZ103" s="32"/>
      <c r="CA103" s="32"/>
      <c r="CB103" s="32"/>
      <c r="CC103" s="32"/>
      <c r="CD103" s="32"/>
      <c r="CE103" s="32"/>
      <c r="CF103" s="32"/>
      <c r="CG103" s="32"/>
      <c r="CH103" s="32"/>
      <c r="CI103" s="32"/>
      <c r="CJ103" s="32"/>
      <c r="CK103" s="32"/>
      <c r="CL103" s="32"/>
      <c r="CM103" s="32"/>
      <c r="CN103" s="32"/>
      <c r="CO103" s="32"/>
      <c r="CP103" s="32"/>
      <c r="CQ103" s="32"/>
      <c r="CR103" s="32"/>
      <c r="CS103" s="32"/>
      <c r="CT103" s="32"/>
      <c r="CU103" s="32"/>
      <c r="CV103" s="32"/>
      <c r="CW103" s="32"/>
      <c r="CX103" s="32"/>
      <c r="CY103" s="32"/>
      <c r="CZ103" s="32"/>
      <c r="DA103" s="32"/>
      <c r="DB103" s="32"/>
      <c r="DC103" s="32"/>
      <c r="DD103" s="32"/>
      <c r="DE103" s="32"/>
      <c r="DF103" s="32"/>
      <c r="DG103" s="32"/>
      <c r="DH103" s="32"/>
    </row>
    <row r="104" spans="2:112" ht="14.4" customHeight="1" x14ac:dyDescent="0.3">
      <c r="B104" s="63" t="e">
        <f>SoW!#REF!</f>
        <v>#REF!</v>
      </c>
      <c r="C104" s="12" t="s">
        <v>25</v>
      </c>
      <c r="D104" s="13">
        <f>D103+E103</f>
        <v>45923</v>
      </c>
      <c r="E104" s="17">
        <v>1</v>
      </c>
      <c r="F104" s="16">
        <f>IF(Tableau2[[#This Row],[Durée]]="",0,IF($C$9="Oui",Tableau2[[#This Row],[Début]]+Tableau2[[#This Row],[Durée]]-1,WORKDAY(Tableau2[[#This Row],[Début]],Tableau2[[#This Row],[Durée]]-1,Tableau4[Jour férié])))</f>
        <v>45923</v>
      </c>
      <c r="G104" s="17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  <c r="CO104" s="32"/>
      <c r="CP104" s="32"/>
      <c r="CQ104" s="32"/>
      <c r="CR104" s="32"/>
      <c r="CS104" s="32"/>
      <c r="CT104" s="32"/>
      <c r="CU104" s="32"/>
      <c r="CV104" s="32"/>
      <c r="CW104" s="32"/>
      <c r="CX104" s="32"/>
      <c r="CY104" s="32"/>
      <c r="CZ104" s="32"/>
      <c r="DA104" s="32"/>
      <c r="DB104" s="32"/>
      <c r="DC104" s="32"/>
      <c r="DD104" s="32"/>
      <c r="DE104" s="32"/>
      <c r="DF104" s="32"/>
      <c r="DG104" s="32"/>
      <c r="DH104" s="32"/>
    </row>
    <row r="105" spans="2:112" x14ac:dyDescent="0.3">
      <c r="B105" s="63" t="s">
        <v>123</v>
      </c>
      <c r="C105" s="12"/>
      <c r="D105" s="13"/>
      <c r="E105" s="17"/>
      <c r="F105" s="16"/>
      <c r="G105" s="17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</row>
    <row r="106" spans="2:112" ht="14.4" customHeight="1" x14ac:dyDescent="0.3">
      <c r="B106" s="63" t="e">
        <f>SoW!#REF!</f>
        <v>#REF!</v>
      </c>
      <c r="C106" s="12" t="s">
        <v>106</v>
      </c>
      <c r="D106" s="13">
        <f>F104</f>
        <v>45923</v>
      </c>
      <c r="E106" s="17">
        <v>0.5</v>
      </c>
      <c r="F106" s="16">
        <f>IF(Tableau2[[#This Row],[Durée]]="",0,IF($C$9="Oui",Tableau2[[#This Row],[Début]]+Tableau2[[#This Row],[Durée]],WORKDAY(Tableau2[[#This Row],[Début]],Tableau2[[#This Row],[Durée]],Tableau4[Jour férié])))</f>
        <v>45923</v>
      </c>
      <c r="G106" s="17"/>
    </row>
    <row r="107" spans="2:112" x14ac:dyDescent="0.3">
      <c r="B107" s="63" t="s">
        <v>100</v>
      </c>
      <c r="C107" s="12"/>
      <c r="D107" s="13"/>
      <c r="E107" s="17"/>
      <c r="F107" s="16"/>
      <c r="G107" s="17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2"/>
      <c r="BR107" s="32"/>
      <c r="BS107" s="32"/>
      <c r="BT107" s="32"/>
      <c r="BU107" s="32"/>
      <c r="BV107" s="32"/>
      <c r="BW107" s="32"/>
      <c r="BX107" s="32"/>
      <c r="BY107" s="32"/>
      <c r="BZ107" s="32"/>
      <c r="CA107" s="32"/>
      <c r="CB107" s="32"/>
      <c r="CC107" s="32"/>
      <c r="CD107" s="32"/>
      <c r="CE107" s="32"/>
      <c r="CF107" s="32"/>
      <c r="CG107" s="32"/>
      <c r="CH107" s="32"/>
      <c r="CI107" s="32"/>
      <c r="CJ107" s="32"/>
      <c r="CK107" s="32"/>
      <c r="CL107" s="32"/>
      <c r="CM107" s="32"/>
      <c r="CN107" s="32"/>
      <c r="CO107" s="32"/>
      <c r="CP107" s="32"/>
      <c r="CQ107" s="32"/>
      <c r="CR107" s="32"/>
      <c r="CS107" s="32"/>
      <c r="CT107" s="32"/>
      <c r="CU107" s="32"/>
      <c r="CV107" s="32"/>
      <c r="CW107" s="32"/>
      <c r="CX107" s="32"/>
      <c r="CY107" s="32"/>
      <c r="CZ107" s="32"/>
      <c r="DA107" s="32"/>
      <c r="DB107" s="32"/>
      <c r="DC107" s="32"/>
      <c r="DD107" s="32"/>
      <c r="DE107" s="32"/>
      <c r="DF107" s="32"/>
      <c r="DG107" s="32"/>
      <c r="DH107" s="32"/>
    </row>
    <row r="108" spans="2:112" ht="14.4" customHeight="1" x14ac:dyDescent="0.3">
      <c r="B108" s="63" t="e">
        <f>SoW!#REF!</f>
        <v>#REF!</v>
      </c>
      <c r="C108" s="12" t="s">
        <v>25</v>
      </c>
      <c r="D108" s="13">
        <v>45925</v>
      </c>
      <c r="E108" s="17">
        <v>1</v>
      </c>
      <c r="F108" s="16">
        <f>IF(Tableau2[[#This Row],[Durée]]="",0,IF($C$9="Oui",Tableau2[[#This Row],[Début]]+Tableau2[[#This Row],[Durée]]-1,WORKDAY(Tableau2[[#This Row],[Début]],Tableau2[[#This Row],[Durée]]-1,Tableau4[Jour férié])))</f>
        <v>45925</v>
      </c>
      <c r="G108" s="17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2"/>
      <c r="BR108" s="32"/>
      <c r="BS108" s="32"/>
      <c r="BT108" s="32"/>
      <c r="BU108" s="32"/>
      <c r="BV108" s="32"/>
      <c r="BW108" s="32"/>
      <c r="BX108" s="32"/>
      <c r="BY108" s="32"/>
      <c r="BZ108" s="32"/>
      <c r="CA108" s="32"/>
      <c r="CB108" s="32"/>
      <c r="CC108" s="32"/>
      <c r="CD108" s="32"/>
      <c r="CE108" s="32"/>
      <c r="CF108" s="32"/>
      <c r="CG108" s="32"/>
      <c r="CH108" s="32"/>
      <c r="CI108" s="32"/>
      <c r="CJ108" s="32"/>
      <c r="CK108" s="32"/>
      <c r="CL108" s="32"/>
      <c r="CM108" s="32"/>
      <c r="CN108" s="32"/>
      <c r="CO108" s="32"/>
      <c r="CP108" s="32"/>
      <c r="CQ108" s="32"/>
      <c r="CR108" s="32"/>
      <c r="CS108" s="32"/>
      <c r="CT108" s="32"/>
      <c r="CU108" s="32"/>
      <c r="CV108" s="32"/>
      <c r="CW108" s="32"/>
      <c r="CX108" s="32"/>
      <c r="CY108" s="32"/>
      <c r="CZ108" s="32"/>
      <c r="DA108" s="32"/>
      <c r="DB108" s="32"/>
      <c r="DC108" s="32"/>
      <c r="DD108" s="32"/>
      <c r="DE108" s="32"/>
      <c r="DF108" s="32"/>
      <c r="DG108" s="32"/>
      <c r="DH108" s="32"/>
    </row>
    <row r="109" spans="2:112" ht="14.4" customHeight="1" x14ac:dyDescent="0.3">
      <c r="B109" s="63" t="e">
        <f>SoW!#REF!</f>
        <v>#REF!</v>
      </c>
      <c r="C109" s="12" t="s">
        <v>25</v>
      </c>
      <c r="D109" s="13">
        <f>D108+E108</f>
        <v>45926</v>
      </c>
      <c r="E109" s="17">
        <v>1</v>
      </c>
      <c r="F109" s="16">
        <f>IF(Tableau2[[#This Row],[Durée]]="",0,IF($C$9="Oui",Tableau2[[#This Row],[Début]]+Tableau2[[#This Row],[Durée]]-1,WORKDAY(Tableau2[[#This Row],[Début]],Tableau2[[#This Row],[Durée]]-1,Tableau4[Jour férié])))</f>
        <v>45926</v>
      </c>
      <c r="G109" s="17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2"/>
      <c r="BR109" s="32"/>
      <c r="BS109" s="32"/>
      <c r="BT109" s="32"/>
      <c r="BU109" s="32"/>
      <c r="BV109" s="32"/>
      <c r="BW109" s="32"/>
      <c r="BX109" s="32"/>
      <c r="BY109" s="32"/>
      <c r="BZ109" s="32"/>
      <c r="CA109" s="32"/>
      <c r="CB109" s="32"/>
      <c r="CC109" s="32"/>
      <c r="CD109" s="32"/>
      <c r="CE109" s="32"/>
      <c r="CF109" s="32"/>
      <c r="CG109" s="32"/>
      <c r="CH109" s="32"/>
      <c r="CI109" s="32"/>
      <c r="CJ109" s="32"/>
      <c r="CK109" s="32"/>
      <c r="CL109" s="32"/>
      <c r="CM109" s="32"/>
      <c r="CN109" s="32"/>
      <c r="CO109" s="32"/>
      <c r="CP109" s="32"/>
      <c r="CQ109" s="32"/>
      <c r="CR109" s="32"/>
      <c r="CS109" s="32"/>
      <c r="CT109" s="32"/>
      <c r="CU109" s="32"/>
      <c r="CV109" s="32"/>
      <c r="CW109" s="32"/>
      <c r="CX109" s="32"/>
      <c r="CY109" s="32"/>
      <c r="CZ109" s="32"/>
      <c r="DA109" s="32"/>
      <c r="DB109" s="32"/>
      <c r="DC109" s="32"/>
      <c r="DD109" s="32"/>
      <c r="DE109" s="32"/>
      <c r="DF109" s="32"/>
      <c r="DG109" s="32"/>
      <c r="DH109" s="32"/>
    </row>
    <row r="110" spans="2:112" x14ac:dyDescent="0.3">
      <c r="B110" s="63" t="s">
        <v>124</v>
      </c>
      <c r="C110" s="12"/>
      <c r="D110" s="13"/>
      <c r="E110" s="17"/>
      <c r="F110" s="16"/>
      <c r="G110" s="17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2"/>
      <c r="BR110" s="32"/>
      <c r="BS110" s="32"/>
      <c r="BT110" s="32"/>
      <c r="BU110" s="32"/>
      <c r="BV110" s="32"/>
      <c r="BW110" s="32"/>
      <c r="BX110" s="32"/>
      <c r="BY110" s="32"/>
      <c r="BZ110" s="32"/>
      <c r="CA110" s="32"/>
      <c r="CB110" s="32"/>
      <c r="CC110" s="32"/>
      <c r="CD110" s="32"/>
      <c r="CE110" s="32"/>
      <c r="CF110" s="32"/>
      <c r="CG110" s="32"/>
      <c r="CH110" s="32"/>
      <c r="CI110" s="32"/>
      <c r="CJ110" s="32"/>
      <c r="CK110" s="32"/>
      <c r="CL110" s="32"/>
      <c r="CM110" s="32"/>
      <c r="CN110" s="32"/>
      <c r="CO110" s="32"/>
      <c r="CP110" s="32"/>
      <c r="CQ110" s="32"/>
      <c r="CR110" s="32"/>
      <c r="CS110" s="32"/>
      <c r="CT110" s="32"/>
      <c r="CU110" s="32"/>
      <c r="CV110" s="32"/>
      <c r="CW110" s="32"/>
      <c r="CX110" s="32"/>
      <c r="CY110" s="32"/>
      <c r="CZ110" s="32"/>
      <c r="DA110" s="32"/>
      <c r="DB110" s="32"/>
      <c r="DC110" s="32"/>
      <c r="DD110" s="32"/>
      <c r="DE110" s="32"/>
      <c r="DF110" s="32"/>
      <c r="DG110" s="32"/>
      <c r="DH110" s="32"/>
    </row>
    <row r="111" spans="2:112" ht="14.4" customHeight="1" x14ac:dyDescent="0.3">
      <c r="B111" s="63" t="e">
        <f>SoW!#REF!</f>
        <v>#REF!</v>
      </c>
      <c r="C111" s="12" t="s">
        <v>106</v>
      </c>
      <c r="D111" s="13">
        <f>F109</f>
        <v>45926</v>
      </c>
      <c r="E111" s="17">
        <v>0.5</v>
      </c>
      <c r="F111" s="16">
        <f>IF(Tableau2[[#This Row],[Durée]]="",0,IF($C$9="Oui",Tableau2[[#This Row],[Début]]+Tableau2[[#This Row],[Durée]],WORKDAY(Tableau2[[#This Row],[Début]],Tableau2[[#This Row],[Durée]],Tableau4[Jour férié])))</f>
        <v>45926</v>
      </c>
      <c r="G111" s="17"/>
    </row>
    <row r="112" spans="2:112" x14ac:dyDescent="0.3">
      <c r="B112" s="63" t="s">
        <v>101</v>
      </c>
      <c r="C112" s="12"/>
      <c r="D112" s="13"/>
      <c r="E112" s="17"/>
      <c r="F112" s="16"/>
      <c r="G112" s="17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</row>
    <row r="113" spans="2:112" ht="14.4" customHeight="1" x14ac:dyDescent="0.3">
      <c r="B113" s="63" t="e">
        <f>SoW!#REF!</f>
        <v>#REF!</v>
      </c>
      <c r="C113" s="12" t="s">
        <v>25</v>
      </c>
      <c r="D113" s="13">
        <v>45930</v>
      </c>
      <c r="E113" s="17">
        <v>1</v>
      </c>
      <c r="F113" s="16">
        <f>IF(Tableau2[[#This Row],[Durée]]="",0,IF($C$9="Oui",Tableau2[[#This Row],[Début]]+Tableau2[[#This Row],[Durée]]-1,WORKDAY(Tableau2[[#This Row],[Début]],Tableau2[[#This Row],[Durée]]-1,Tableau4[Jour férié])))</f>
        <v>45930</v>
      </c>
      <c r="G113" s="17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</row>
    <row r="114" spans="2:112" ht="14.4" customHeight="1" x14ac:dyDescent="0.3">
      <c r="B114" s="63" t="e">
        <f>SoW!#REF!</f>
        <v>#REF!</v>
      </c>
      <c r="C114" s="12" t="s">
        <v>25</v>
      </c>
      <c r="D114" s="13">
        <f>D113+E113</f>
        <v>45931</v>
      </c>
      <c r="E114" s="17">
        <v>1</v>
      </c>
      <c r="F114" s="16">
        <f>IF(Tableau2[[#This Row],[Durée]]="",0,IF($C$9="Oui",Tableau2[[#This Row],[Début]]+Tableau2[[#This Row],[Durée]]-1,WORKDAY(Tableau2[[#This Row],[Début]],Tableau2[[#This Row],[Durée]]-1,Tableau4[Jour férié])))</f>
        <v>45931</v>
      </c>
      <c r="G114" s="17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</row>
    <row r="115" spans="2:112" x14ac:dyDescent="0.3">
      <c r="B115" s="63" t="s">
        <v>125</v>
      </c>
      <c r="C115" s="12"/>
      <c r="D115" s="13"/>
      <c r="E115" s="17"/>
      <c r="F115" s="16"/>
      <c r="G115" s="17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2"/>
      <c r="BP115" s="32"/>
      <c r="BQ115" s="32"/>
      <c r="BR115" s="32"/>
      <c r="BS115" s="32"/>
      <c r="BT115" s="32"/>
      <c r="BU115" s="32"/>
      <c r="BV115" s="32"/>
      <c r="BW115" s="32"/>
      <c r="BX115" s="32"/>
      <c r="BY115" s="32"/>
      <c r="BZ115" s="32"/>
      <c r="CA115" s="32"/>
      <c r="CB115" s="32"/>
      <c r="CC115" s="32"/>
      <c r="CD115" s="32"/>
      <c r="CE115" s="32"/>
      <c r="CF115" s="32"/>
      <c r="CG115" s="32"/>
      <c r="CH115" s="32"/>
      <c r="CI115" s="32"/>
      <c r="CJ115" s="32"/>
      <c r="CK115" s="32"/>
      <c r="CL115" s="32"/>
      <c r="CM115" s="32"/>
      <c r="CN115" s="32"/>
      <c r="CO115" s="32"/>
      <c r="CP115" s="32"/>
      <c r="CQ115" s="32"/>
      <c r="CR115" s="32"/>
      <c r="CS115" s="32"/>
      <c r="CT115" s="32"/>
      <c r="CU115" s="32"/>
      <c r="CV115" s="32"/>
      <c r="CW115" s="32"/>
      <c r="CX115" s="32"/>
      <c r="CY115" s="32"/>
      <c r="CZ115" s="32"/>
      <c r="DA115" s="32"/>
      <c r="DB115" s="32"/>
      <c r="DC115" s="32"/>
      <c r="DD115" s="32"/>
      <c r="DE115" s="32"/>
      <c r="DF115" s="32"/>
      <c r="DG115" s="32"/>
      <c r="DH115" s="32"/>
    </row>
    <row r="116" spans="2:112" ht="14.4" customHeight="1" x14ac:dyDescent="0.3">
      <c r="B116" s="63" t="e">
        <f>SoW!#REF!</f>
        <v>#REF!</v>
      </c>
      <c r="C116" s="12" t="s">
        <v>106</v>
      </c>
      <c r="D116" s="13">
        <f>F114</f>
        <v>45931</v>
      </c>
      <c r="E116" s="17">
        <v>0.5</v>
      </c>
      <c r="F116" s="16">
        <f>IF(Tableau2[[#This Row],[Durée]]="",0,IF($C$9="Oui",Tableau2[[#This Row],[Début]]+Tableau2[[#This Row],[Durée]],WORKDAY(Tableau2[[#This Row],[Début]],Tableau2[[#This Row],[Durée]],Tableau4[Jour férié])))</f>
        <v>45931</v>
      </c>
      <c r="G116" s="17"/>
    </row>
    <row r="117" spans="2:112" x14ac:dyDescent="0.3">
      <c r="B117" s="63" t="s">
        <v>102</v>
      </c>
      <c r="C117" s="12"/>
      <c r="D117" s="13"/>
      <c r="E117" s="17"/>
      <c r="F117" s="16"/>
      <c r="G117" s="17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2"/>
      <c r="BP117" s="32"/>
      <c r="BQ117" s="32"/>
      <c r="BR117" s="32"/>
      <c r="BS117" s="32"/>
      <c r="BT117" s="32"/>
      <c r="BU117" s="32"/>
      <c r="BV117" s="32"/>
      <c r="BW117" s="32"/>
      <c r="BX117" s="32"/>
      <c r="BY117" s="32"/>
      <c r="BZ117" s="32"/>
      <c r="CA117" s="32"/>
      <c r="CB117" s="32"/>
      <c r="CC117" s="32"/>
      <c r="CD117" s="32"/>
      <c r="CE117" s="32"/>
      <c r="CF117" s="32"/>
      <c r="CG117" s="32"/>
      <c r="CH117" s="32"/>
      <c r="CI117" s="32"/>
      <c r="CJ117" s="32"/>
      <c r="CK117" s="32"/>
      <c r="CL117" s="32"/>
      <c r="CM117" s="32"/>
      <c r="CN117" s="32"/>
      <c r="CO117" s="32"/>
      <c r="CP117" s="32"/>
      <c r="CQ117" s="32"/>
      <c r="CR117" s="32"/>
      <c r="CS117" s="32"/>
      <c r="CT117" s="32"/>
      <c r="CU117" s="32"/>
      <c r="CV117" s="32"/>
      <c r="CW117" s="32"/>
      <c r="CX117" s="32"/>
      <c r="CY117" s="32"/>
      <c r="CZ117" s="32"/>
      <c r="DA117" s="32"/>
      <c r="DB117" s="32"/>
      <c r="DC117" s="32"/>
      <c r="DD117" s="32"/>
      <c r="DE117" s="32"/>
      <c r="DF117" s="32"/>
      <c r="DG117" s="32"/>
      <c r="DH117" s="32"/>
    </row>
    <row r="118" spans="2:112" ht="14.4" customHeight="1" x14ac:dyDescent="0.3">
      <c r="B118" s="63" t="e">
        <f>SoW!#REF!</f>
        <v>#REF!</v>
      </c>
      <c r="C118" s="12" t="s">
        <v>25</v>
      </c>
      <c r="D118" s="13">
        <v>45936</v>
      </c>
      <c r="E118" s="17">
        <v>1</v>
      </c>
      <c r="F118" s="16">
        <f>IF(Tableau2[[#This Row],[Durée]]="",0,IF($C$9="Oui",Tableau2[[#This Row],[Début]]+Tableau2[[#This Row],[Durée]]-1,WORKDAY(Tableau2[[#This Row],[Début]],Tableau2[[#This Row],[Durée]]-1,Tableau4[Jour férié])))</f>
        <v>45936</v>
      </c>
      <c r="G118" s="17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2"/>
      <c r="BP118" s="32"/>
      <c r="BQ118" s="32"/>
      <c r="BR118" s="32"/>
      <c r="BS118" s="32"/>
      <c r="BT118" s="32"/>
      <c r="BU118" s="32"/>
      <c r="BV118" s="32"/>
      <c r="BW118" s="32"/>
      <c r="BX118" s="32"/>
      <c r="BY118" s="32"/>
      <c r="BZ118" s="32"/>
      <c r="CA118" s="32"/>
      <c r="CB118" s="32"/>
      <c r="CC118" s="32"/>
      <c r="CD118" s="32"/>
      <c r="CE118" s="32"/>
      <c r="CF118" s="32"/>
      <c r="CG118" s="32"/>
      <c r="CH118" s="32"/>
      <c r="CI118" s="32"/>
      <c r="CJ118" s="32"/>
      <c r="CK118" s="32"/>
      <c r="CL118" s="32"/>
      <c r="CM118" s="32"/>
      <c r="CN118" s="32"/>
      <c r="CO118" s="32"/>
      <c r="CP118" s="32"/>
      <c r="CQ118" s="32"/>
      <c r="CR118" s="32"/>
      <c r="CS118" s="32"/>
      <c r="CT118" s="32"/>
      <c r="CU118" s="32"/>
      <c r="CV118" s="32"/>
      <c r="CW118" s="32"/>
      <c r="CX118" s="32"/>
      <c r="CY118" s="32"/>
      <c r="CZ118" s="32"/>
      <c r="DA118" s="32"/>
      <c r="DB118" s="32"/>
      <c r="DC118" s="32"/>
      <c r="DD118" s="32"/>
      <c r="DE118" s="32"/>
      <c r="DF118" s="32"/>
      <c r="DG118" s="32"/>
      <c r="DH118" s="32"/>
    </row>
    <row r="119" spans="2:112" ht="14.4" customHeight="1" x14ac:dyDescent="0.3">
      <c r="B119" s="63" t="e">
        <f>SoW!#REF!</f>
        <v>#REF!</v>
      </c>
      <c r="C119" s="12" t="s">
        <v>25</v>
      </c>
      <c r="D119" s="13">
        <f>D118+E118</f>
        <v>45937</v>
      </c>
      <c r="E119" s="17">
        <v>1</v>
      </c>
      <c r="F119" s="16">
        <f>IF(Tableau2[[#This Row],[Durée]]="",0,IF($C$9="Oui",Tableau2[[#This Row],[Début]]+Tableau2[[#This Row],[Durée]]-1,WORKDAY(Tableau2[[#This Row],[Début]],Tableau2[[#This Row],[Durée]]-1,Tableau4[Jour férié])))</f>
        <v>45937</v>
      </c>
      <c r="G119" s="17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2"/>
      <c r="BP119" s="32"/>
      <c r="BQ119" s="32"/>
      <c r="BR119" s="32"/>
      <c r="BS119" s="32"/>
      <c r="BT119" s="32"/>
      <c r="BU119" s="32"/>
      <c r="BV119" s="32"/>
      <c r="BW119" s="32"/>
      <c r="BX119" s="32"/>
      <c r="BY119" s="32"/>
      <c r="BZ119" s="32"/>
      <c r="CA119" s="32"/>
      <c r="CB119" s="32"/>
      <c r="CC119" s="32"/>
      <c r="CD119" s="32"/>
      <c r="CE119" s="32"/>
      <c r="CF119" s="32"/>
      <c r="CG119" s="32"/>
      <c r="CH119" s="32"/>
      <c r="CI119" s="32"/>
      <c r="CJ119" s="32"/>
      <c r="CK119" s="32"/>
      <c r="CL119" s="32"/>
      <c r="CM119" s="32"/>
      <c r="CN119" s="32"/>
      <c r="CO119" s="32"/>
      <c r="CP119" s="32"/>
      <c r="CQ119" s="32"/>
      <c r="CR119" s="32"/>
      <c r="CS119" s="32"/>
      <c r="CT119" s="32"/>
      <c r="CU119" s="32"/>
      <c r="CV119" s="32"/>
      <c r="CW119" s="32"/>
      <c r="CX119" s="32"/>
      <c r="CY119" s="32"/>
      <c r="CZ119" s="32"/>
      <c r="DA119" s="32"/>
      <c r="DB119" s="32"/>
      <c r="DC119" s="32"/>
      <c r="DD119" s="32"/>
      <c r="DE119" s="32"/>
      <c r="DF119" s="32"/>
      <c r="DG119" s="32"/>
      <c r="DH119" s="32"/>
    </row>
    <row r="120" spans="2:112" x14ac:dyDescent="0.3">
      <c r="B120" s="63" t="s">
        <v>126</v>
      </c>
      <c r="C120" s="12"/>
      <c r="D120" s="13"/>
      <c r="E120" s="17"/>
      <c r="F120" s="16"/>
      <c r="G120" s="17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  <c r="CR120" s="32"/>
      <c r="CS120" s="32"/>
      <c r="CT120" s="32"/>
      <c r="CU120" s="32"/>
      <c r="CV120" s="32"/>
      <c r="CW120" s="32"/>
      <c r="CX120" s="32"/>
      <c r="CY120" s="32"/>
      <c r="CZ120" s="32"/>
      <c r="DA120" s="32"/>
      <c r="DB120" s="32"/>
      <c r="DC120" s="32"/>
      <c r="DD120" s="32"/>
      <c r="DE120" s="32"/>
      <c r="DF120" s="32"/>
      <c r="DG120" s="32"/>
      <c r="DH120" s="32"/>
    </row>
    <row r="121" spans="2:112" ht="14.4" customHeight="1" x14ac:dyDescent="0.3">
      <c r="B121" s="63" t="str">
        <f>SoW!D23</f>
        <v>Test(s) de validation</v>
      </c>
      <c r="C121" s="12" t="s">
        <v>106</v>
      </c>
      <c r="D121" s="13">
        <f>F119</f>
        <v>45937</v>
      </c>
      <c r="E121" s="17">
        <v>0.5</v>
      </c>
      <c r="F121" s="16">
        <f>IF(Tableau2[[#This Row],[Durée]]="",0,IF($C$9="Oui",Tableau2[[#This Row],[Début]]+Tableau2[[#This Row],[Durée]],WORKDAY(Tableau2[[#This Row],[Début]],Tableau2[[#This Row],[Durée]],Tableau4[Jour férié])))</f>
        <v>45937</v>
      </c>
      <c r="G121" s="17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  <c r="BF121" s="32"/>
      <c r="BG121" s="32"/>
      <c r="BH121" s="32"/>
      <c r="BI121" s="32"/>
      <c r="BJ121" s="32"/>
      <c r="BK121" s="32"/>
      <c r="BL121" s="32"/>
      <c r="BM121" s="32"/>
      <c r="BN121" s="32"/>
      <c r="BO121" s="32"/>
      <c r="BP121" s="32"/>
      <c r="BQ121" s="32"/>
      <c r="BR121" s="32"/>
      <c r="BS121" s="32"/>
      <c r="BT121" s="32"/>
      <c r="BU121" s="32"/>
      <c r="BV121" s="32"/>
      <c r="BW121" s="32"/>
      <c r="BX121" s="32"/>
      <c r="BY121" s="32"/>
      <c r="BZ121" s="32"/>
      <c r="CA121" s="32"/>
      <c r="CB121" s="32"/>
      <c r="CC121" s="32"/>
      <c r="CD121" s="32"/>
      <c r="CE121" s="32"/>
      <c r="CF121" s="32"/>
      <c r="CG121" s="32"/>
      <c r="CH121" s="32"/>
      <c r="CI121" s="32"/>
      <c r="CJ121" s="32"/>
      <c r="CK121" s="32"/>
      <c r="CL121" s="32"/>
      <c r="CM121" s="32"/>
      <c r="CN121" s="32"/>
      <c r="CO121" s="32"/>
      <c r="CP121" s="32"/>
      <c r="CQ121" s="32"/>
      <c r="CR121" s="32"/>
      <c r="CS121" s="32"/>
      <c r="CT121" s="32"/>
      <c r="CU121" s="32"/>
      <c r="CV121" s="32"/>
      <c r="CW121" s="32"/>
      <c r="CX121" s="32"/>
      <c r="CY121" s="32"/>
      <c r="CZ121" s="32"/>
      <c r="DA121" s="32"/>
      <c r="DB121" s="32"/>
      <c r="DC121" s="32"/>
      <c r="DD121" s="32"/>
      <c r="DE121" s="32"/>
      <c r="DF121" s="32"/>
      <c r="DG121" s="32"/>
      <c r="DH121" s="32"/>
    </row>
    <row r="122" spans="2:112" x14ac:dyDescent="0.3">
      <c r="C122" s="63"/>
      <c r="D122" s="18"/>
      <c r="E122" s="28">
        <f>SUBTOTAL(109,Tableau2[Durée])</f>
        <v>57</v>
      </c>
      <c r="F122" s="17"/>
    </row>
  </sheetData>
  <mergeCells count="2">
    <mergeCell ref="B4:AL4"/>
    <mergeCell ref="B1:D2"/>
  </mergeCells>
  <phoneticPr fontId="3" type="noConversion"/>
  <conditionalFormatting sqref="B13:F121 F122">
    <cfRule type="expression" dxfId="32" priority="248">
      <formula>COUNTIFS($B13,"*Phase*")</formula>
    </cfRule>
  </conditionalFormatting>
  <conditionalFormatting sqref="H8:AL9">
    <cfRule type="expression" dxfId="31" priority="402">
      <formula>AND(H$11&lt;=EOMONTH($H$11,7), H$11&gt;EOMONTH($H$11,6),H$11&gt;EOMONTH($H$11,5),H$11&gt;EOMONTH($H$11,4),H$11&gt;EOMONTH($H$11,3),H$11&gt;EOMONTH($H$11,2),H$11&gt;EOMONTH($H$11,1),H$11&gt;EOMONTH($H$11,0))</formula>
    </cfRule>
    <cfRule type="expression" dxfId="30" priority="403">
      <formula>AND(H$11&lt;=EOMONTH($H$11,6), H$11&gt;EOMONTH($H$11,5),H$11&gt;EOMONTH($H$11,4),H$11&gt;EOMONTH($H$11,3),H$11&gt;EOMONTH($H$11,2),H$11&gt;EOMONTH($H$11,1),H$11&gt;EOMONTH($H$11,0))</formula>
    </cfRule>
    <cfRule type="expression" dxfId="29" priority="404">
      <formula>AND(H$11&lt;=EOMONTH($H$11,5), H$11&gt;EOMONTH($H$11,4),H$11&gt;EOMONTH($H$11,3),H$11&gt;EOMONTH($H$11,2),H$11&gt;EOMONTH($H$11,1),H$11&gt;EOMONTH($H$11,0))</formula>
    </cfRule>
    <cfRule type="expression" dxfId="28" priority="405">
      <formula>AND(H$11&lt;=EOMONTH($H$11,4), H$11&gt;EOMONTH($H$11,3),H$11&gt;EOMONTH($H$11,2),H$11&gt;EOMONTH($H$11,1),H$11&gt;EOMONTH($H$11,0))</formula>
    </cfRule>
    <cfRule type="expression" dxfId="27" priority="406">
      <formula>AND(H$11&lt;=EOMONTH($H$11,3),H$11&gt;EOMONTH($H$11,2),H$11&gt;EOMONTH($H$11,1),H$11&gt;EOMONTH($H$11,0))</formula>
    </cfRule>
    <cfRule type="expression" dxfId="26" priority="407">
      <formula>AND(H$11&lt;=EOMONTH($H$11,2),H$11&gt;EOMONTH($H$11,0),H$11&gt;EOMONTH($H$11,1))</formula>
    </cfRule>
    <cfRule type="expression" dxfId="25" priority="408">
      <formula>AND(H$11&lt;=EOMONTH($H$11,1),H$11&gt;EOMONTH($H$11,0))</formula>
    </cfRule>
    <cfRule type="expression" dxfId="24" priority="409">
      <formula>H$11&lt;=EOMONTH($H$11,0)</formula>
    </cfRule>
  </conditionalFormatting>
  <conditionalFormatting sqref="H8:DH8">
    <cfRule type="expression" dxfId="23" priority="177">
      <formula>AND($C$10="Semaine",H$8="")</formula>
    </cfRule>
    <cfRule type="expression" dxfId="22" priority="201">
      <formula>NOT(H$8="")</formula>
    </cfRule>
  </conditionalFormatting>
  <conditionalFormatting sqref="H9:DH9">
    <cfRule type="expression" dxfId="21" priority="388">
      <formula>COUNTIFS(H$9,"*M*")</formula>
    </cfRule>
    <cfRule type="expression" dxfId="20" priority="389">
      <formula>AND($C$10="Jour",ISODD(WEEKNUM(H$11,11)))</formula>
    </cfRule>
    <cfRule type="expression" dxfId="19" priority="390">
      <formula>AND($C$10="Jour",ISEVEN(WEEKNUM(H$11,11)))</formula>
    </cfRule>
    <cfRule type="expression" dxfId="18" priority="391">
      <formula>COUNTIFS(H$9,"*S*")</formula>
    </cfRule>
    <cfRule type="expression" dxfId="17" priority="392">
      <formula>AND(COUNTIFS(H$9,"*M*"),$C$10="Mois")</formula>
    </cfRule>
    <cfRule type="expression" dxfId="16" priority="393">
      <formula>AND(COUNTIFS(H$9,"*S*"),$C$10="Semaine")</formula>
    </cfRule>
  </conditionalFormatting>
  <conditionalFormatting sqref="H12:DH121">
    <cfRule type="expression" dxfId="15" priority="9">
      <formula>AND($C$10="Jour",AND($C$9="Non",NOT(ISNA(MATCH(H$11,INDIRECT("Tableau4[Jour férié]"),0)))))</formula>
    </cfRule>
    <cfRule type="expression" dxfId="14" priority="10">
      <formula>AND($C$9="Non",(OR(H$10="S",H$10="D")))</formula>
    </cfRule>
    <cfRule type="expression" dxfId="13" priority="11">
      <formula>AND($C$10="Jour",NOT(ISNA(MATCH(H$11,INDIRECT("Tableau4[Jour férié]"),0))))</formula>
    </cfRule>
    <cfRule type="expression" dxfId="12" priority="12">
      <formula>AND($C$9="Oui",(OR(H$10="S",H$10="D")))</formula>
    </cfRule>
    <cfRule type="expression" dxfId="11" priority="13">
      <formula>AND($C12="Post-Implémentation",H$11&gt;=$D12,H$11&lt;=$F12)</formula>
    </cfRule>
    <cfRule type="expression" dxfId="10" priority="14">
      <formula>AND($C12="Implémentation",H$11&gt;=$D12,H$11&lt;=$F12)</formula>
    </cfRule>
    <cfRule type="expression" dxfId="9" priority="15">
      <formula>AND($C12="Préparation",H$11&gt;=$D12,H$11&lt;=$F12)</formula>
    </cfRule>
    <cfRule type="expression" dxfId="8" priority="16">
      <formula>AND(H$11&gt;=$D12,H$11&lt;=$F12)</formula>
    </cfRule>
  </conditionalFormatting>
  <conditionalFormatting sqref="AM8:DH9">
    <cfRule type="expression" dxfId="7" priority="1">
      <formula>AND(AM$11&lt;=EOMONTH($H$11,7), AM$11&gt;EOMONTH($H$11,6),AM$11&gt;EOMONTH($H$11,5),AM$11&gt;EOMONTH($H$11,4),AM$11&gt;EOMONTH($H$11,3),AM$11&gt;EOMONTH($H$11,2),AM$11&gt;EOMONTH($H$11,1),AM$11&gt;EOMONTH($H$11,0))</formula>
    </cfRule>
    <cfRule type="expression" dxfId="6" priority="2">
      <formula>AND(AM$11&lt;=EOMONTH($H$11,6), AM$11&gt;EOMONTH($H$11,5),AM$11&gt;EOMONTH($H$11,4),AM$11&gt;EOMONTH($H$11,3),AM$11&gt;EOMONTH($H$11,2),AM$11&gt;EOMONTH($H$11,1),AM$11&gt;EOMONTH($H$11,0))</formula>
    </cfRule>
    <cfRule type="expression" dxfId="5" priority="3">
      <formula>AND(AM$11&lt;=EOMONTH($H$11,5), AM$11&gt;EOMONTH($H$11,4),AM$11&gt;EOMONTH($H$11,3),AM$11&gt;EOMONTH($H$11,2),AM$11&gt;EOMONTH($H$11,1),AM$11&gt;EOMONTH($H$11,0))</formula>
    </cfRule>
    <cfRule type="expression" dxfId="4" priority="4">
      <formula>AND(AM$11&lt;=EOMONTH($H$11,4), AM$11&gt;EOMONTH($H$11,3),AM$11&gt;EOMONTH($H$11,2),AM$11&gt;EOMONTH($H$11,1),AM$11&gt;EOMONTH($H$11,0))</formula>
    </cfRule>
    <cfRule type="expression" dxfId="3" priority="5">
      <formula>AND(AM$11&lt;=EOMONTH($H$11,3),AM$11&gt;EOMONTH($H$11,2),AM$11&gt;EOMONTH($H$11,1),AM$11&gt;EOMONTH($H$11,0))</formula>
    </cfRule>
    <cfRule type="expression" dxfId="2" priority="6">
      <formula>AND(AM$11&lt;=EOMONTH($H$11,2),AM$11&gt;EOMONTH($H$11,0),AM$11&gt;EOMONTH($H$11,1))</formula>
    </cfRule>
    <cfRule type="expression" dxfId="1" priority="7">
      <formula>AND(AM$11&lt;=EOMONTH($H$11,1),AM$11&gt;EOMONTH($H$11,0))</formula>
    </cfRule>
    <cfRule type="expression" dxfId="0" priority="8">
      <formula>AM$11&lt;=EOMONTH($H$11,0)</formula>
    </cfRule>
  </conditionalFormatting>
  <dataValidations count="3">
    <dataValidation type="list" allowBlank="1" showInputMessage="1" showErrorMessage="1" sqref="C9 C11" xr:uid="{4C063854-C45B-4C26-B1BF-969B5B0514BC}">
      <formula1>"Oui,Non"</formula1>
    </dataValidation>
    <dataValidation type="list" allowBlank="1" showInputMessage="1" showErrorMessage="1" sqref="C9:C11" xr:uid="{74C65358-5531-4C0A-A82F-89FD9021BA98}">
      <formula1>"Jour,Semaine"</formula1>
    </dataValidation>
    <dataValidation type="list" allowBlank="1" showInputMessage="1" showErrorMessage="1" sqref="C13:C121" xr:uid="{C6DFC535-E615-43DF-9AD8-52654FBAEDCB}">
      <formula1>"Préparation, Implémentation, Post-Implémentation"</formula1>
    </dataValidation>
  </dataValidations>
  <pageMargins left="0.25" right="0.25" top="0.75" bottom="0.75" header="0.3" footer="0.3"/>
  <pageSetup paperSize="9" scale="81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63" r:id="rId4" name="Scroll Bar 43">
              <controlPr defaultSize="0" autoPict="0">
                <anchor moveWithCells="1">
                  <from>
                    <xdr:col>7</xdr:col>
                    <xdr:colOff>0</xdr:colOff>
                    <xdr:row>5</xdr:row>
                    <xdr:rowOff>65837</xdr:rowOff>
                  </from>
                  <to>
                    <xdr:col>37</xdr:col>
                    <xdr:colOff>219456</xdr:colOff>
                    <xdr:row>5</xdr:row>
                    <xdr:rowOff>212141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/>
  <dimension ref="B3:K19"/>
  <sheetViews>
    <sheetView showGridLines="0" zoomScaleNormal="100" workbookViewId="0">
      <selection activeCell="D7" sqref="D7"/>
    </sheetView>
  </sheetViews>
  <sheetFormatPr baseColWidth="10" defaultColWidth="5.59765625" defaultRowHeight="10.4" x14ac:dyDescent="0.3"/>
  <cols>
    <col min="1" max="1" width="5.59765625" style="1"/>
    <col min="2" max="2" width="18.09765625" style="1" bestFit="1" customWidth="1"/>
    <col min="3" max="3" width="5.59765625" style="1"/>
    <col min="4" max="4" width="13.69921875" style="1" bestFit="1" customWidth="1"/>
    <col min="5" max="5" width="5.59765625" style="1"/>
    <col min="6" max="6" width="17.09765625" style="1" bestFit="1" customWidth="1"/>
    <col min="7" max="7" width="5.59765625" style="1" customWidth="1"/>
    <col min="8" max="8" width="17.09765625" style="1" customWidth="1"/>
    <col min="9" max="9" width="5.59765625" style="1"/>
    <col min="10" max="10" width="20.69921875" style="1" bestFit="1" customWidth="1"/>
    <col min="11" max="11" width="27.09765625" style="1" bestFit="1" customWidth="1"/>
    <col min="12" max="16384" width="5.59765625" style="1"/>
  </cols>
  <sheetData>
    <row r="3" spans="2:11" x14ac:dyDescent="0.3">
      <c r="B3" s="14" t="s">
        <v>49</v>
      </c>
      <c r="C3" s="14"/>
      <c r="D3" s="14" t="s">
        <v>25</v>
      </c>
      <c r="E3" s="14"/>
      <c r="F3" s="14" t="s">
        <v>30</v>
      </c>
      <c r="G3" s="14"/>
      <c r="H3" s="14" t="s">
        <v>50</v>
      </c>
      <c r="J3" s="1" t="s">
        <v>48</v>
      </c>
      <c r="K3" s="1" t="s">
        <v>12</v>
      </c>
    </row>
    <row r="4" spans="2:11" x14ac:dyDescent="0.3">
      <c r="B4" s="1" t="s">
        <v>19</v>
      </c>
      <c r="D4" s="47" t="s">
        <v>27</v>
      </c>
      <c r="F4" s="47" t="s">
        <v>31</v>
      </c>
      <c r="H4" s="1" t="s">
        <v>18</v>
      </c>
      <c r="J4" s="19">
        <v>45658</v>
      </c>
      <c r="K4" s="20" t="s">
        <v>51</v>
      </c>
    </row>
    <row r="5" spans="2:11" x14ac:dyDescent="0.3">
      <c r="B5" s="1" t="s">
        <v>22</v>
      </c>
      <c r="D5" s="1" t="s">
        <v>26</v>
      </c>
      <c r="F5" s="1" t="s">
        <v>52</v>
      </c>
      <c r="H5" s="1" t="s">
        <v>53</v>
      </c>
      <c r="J5" s="19">
        <v>45724</v>
      </c>
      <c r="K5" s="20" t="s">
        <v>54</v>
      </c>
    </row>
    <row r="6" spans="2:11" x14ac:dyDescent="0.3">
      <c r="B6" s="1" t="s">
        <v>55</v>
      </c>
      <c r="D6" s="1" t="s">
        <v>28</v>
      </c>
      <c r="F6" s="1" t="s">
        <v>29</v>
      </c>
      <c r="H6" s="1" t="s">
        <v>56</v>
      </c>
      <c r="J6" s="19">
        <v>45745</v>
      </c>
      <c r="K6" s="20" t="s">
        <v>57</v>
      </c>
    </row>
    <row r="7" spans="2:11" x14ac:dyDescent="0.3">
      <c r="B7" s="1" t="s">
        <v>53</v>
      </c>
      <c r="D7" s="1" t="s">
        <v>32</v>
      </c>
      <c r="F7" s="1" t="s">
        <v>32</v>
      </c>
      <c r="H7" s="1" t="s">
        <v>58</v>
      </c>
      <c r="J7" s="19">
        <v>45747</v>
      </c>
      <c r="K7" s="20" t="s">
        <v>59</v>
      </c>
    </row>
    <row r="8" spans="2:11" x14ac:dyDescent="0.3">
      <c r="B8" s="1" t="s">
        <v>60</v>
      </c>
      <c r="H8" s="1" t="s">
        <v>32</v>
      </c>
      <c r="J8" s="19">
        <v>45767</v>
      </c>
      <c r="K8" s="20" t="s">
        <v>61</v>
      </c>
    </row>
    <row r="9" spans="2:11" x14ac:dyDescent="0.3">
      <c r="B9" s="1" t="s">
        <v>62</v>
      </c>
      <c r="J9" s="19">
        <v>45768</v>
      </c>
      <c r="K9" s="20" t="s">
        <v>63</v>
      </c>
    </row>
    <row r="10" spans="2:11" x14ac:dyDescent="0.3">
      <c r="B10" s="1" t="s">
        <v>64</v>
      </c>
      <c r="J10" s="19">
        <v>45778</v>
      </c>
      <c r="K10" s="20" t="s">
        <v>65</v>
      </c>
    </row>
    <row r="11" spans="2:11" x14ac:dyDescent="0.3">
      <c r="B11" s="1" t="s">
        <v>66</v>
      </c>
      <c r="J11" s="19">
        <v>45806</v>
      </c>
      <c r="K11" s="20" t="s">
        <v>67</v>
      </c>
    </row>
    <row r="12" spans="2:11" x14ac:dyDescent="0.3">
      <c r="J12" s="19">
        <v>45816</v>
      </c>
      <c r="K12" s="20" t="s">
        <v>68</v>
      </c>
    </row>
    <row r="13" spans="2:11" x14ac:dyDescent="0.3">
      <c r="J13" s="19">
        <v>45817</v>
      </c>
      <c r="K13" s="20" t="s">
        <v>69</v>
      </c>
    </row>
    <row r="14" spans="2:11" x14ac:dyDescent="0.3">
      <c r="J14" s="19">
        <v>45834</v>
      </c>
      <c r="K14" s="20" t="s">
        <v>70</v>
      </c>
    </row>
    <row r="15" spans="2:11" x14ac:dyDescent="0.3">
      <c r="B15" s="1" t="s">
        <v>71</v>
      </c>
      <c r="J15" s="19">
        <v>45884</v>
      </c>
      <c r="K15" s="20" t="s">
        <v>72</v>
      </c>
    </row>
    <row r="16" spans="2:11" x14ac:dyDescent="0.3">
      <c r="B16" s="1" t="s">
        <v>18</v>
      </c>
      <c r="J16" s="19">
        <v>45962</v>
      </c>
      <c r="K16" s="20" t="s">
        <v>73</v>
      </c>
    </row>
    <row r="17" spans="2:11" x14ac:dyDescent="0.3">
      <c r="B17" s="1" t="s">
        <v>25</v>
      </c>
      <c r="J17" s="19">
        <v>46016</v>
      </c>
      <c r="K17" s="20" t="s">
        <v>74</v>
      </c>
    </row>
    <row r="18" spans="2:11" x14ac:dyDescent="0.3">
      <c r="B18" s="1" t="s">
        <v>30</v>
      </c>
    </row>
    <row r="19" spans="2:11" x14ac:dyDescent="0.3">
      <c r="B19" s="1" t="s">
        <v>50</v>
      </c>
    </row>
  </sheetData>
  <phoneticPr fontId="3" type="noConversion"/>
  <pageMargins left="0.7" right="0.7" top="0.75" bottom="0.75" header="0.3" footer="0.3"/>
  <pageSetup paperSize="9" scale="62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13</vt:i4>
      </vt:variant>
    </vt:vector>
  </HeadingPairs>
  <TitlesOfParts>
    <vt:vector size="16" baseType="lpstr">
      <vt:lpstr>SoW</vt:lpstr>
      <vt:lpstr>Calendrier</vt:lpstr>
      <vt:lpstr>Base de données</vt:lpstr>
      <vt:lpstr>Audit</vt:lpstr>
      <vt:lpstr>SoW!Début_Projet</vt:lpstr>
      <vt:lpstr>Début_projet</vt:lpstr>
      <vt:lpstr>Férié</vt:lpstr>
      <vt:lpstr>Implémentation</vt:lpstr>
      <vt:lpstr>SoW!Impression_des_titres</vt:lpstr>
      <vt:lpstr>SoW!Incrément_de_défilement</vt:lpstr>
      <vt:lpstr>Post_Implémentation</vt:lpstr>
      <vt:lpstr>Préparation</vt:lpstr>
      <vt:lpstr>Sem_Affichée</vt:lpstr>
      <vt:lpstr>'Base de données'!Zone_d_impression</vt:lpstr>
      <vt:lpstr>Calendrier!Zone_d_impression</vt:lpstr>
      <vt:lpstr>SoW!Zone_d_impression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Solondrainy Tsinjo</cp:lastModifiedBy>
  <cp:revision/>
  <dcterms:created xsi:type="dcterms:W3CDTF">2021-10-23T06:51:43Z</dcterms:created>
  <dcterms:modified xsi:type="dcterms:W3CDTF">2025-10-14T11:33:04Z</dcterms:modified>
  <cp:category/>
  <cp:contentStatus/>
</cp:coreProperties>
</file>